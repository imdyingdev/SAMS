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D5F8E459-17F1-4927-BF06-C9ECC496F090}" xr6:coauthVersionLast="47" xr6:coauthVersionMax="47" xr10:uidLastSave="{00000000-0000-0000-0000-000000000000}"/>
  <bookViews>
    <workbookView xWindow="-110" yWindow="-110" windowWidth="19420" windowHeight="11500" tabRatio="944" xr2:uid="{00000000-000D-0000-FFFF-FFFF00000000}"/>
  </bookViews>
  <sheets>
    <sheet name="SEP" sheetId="7" r:id="rId1"/>
  </sheets>
  <definedNames>
    <definedName name="_xlnm.Print_Area" localSheetId="0">SEP!$A$1:$AN$146</definedName>
    <definedName name="_xlnm.Print_Titles" localSheetId="0">SEP!$9:$11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36" i="7" l="1"/>
  <c r="AK136" i="7"/>
  <c r="AL134" i="7"/>
  <c r="AK134" i="7"/>
  <c r="AL132" i="7"/>
  <c r="AK132" i="7"/>
  <c r="AM130" i="7"/>
  <c r="AL123" i="7"/>
  <c r="AL125" i="7" s="1"/>
  <c r="AK123" i="7"/>
  <c r="AK125" i="7" s="1"/>
  <c r="AM121" i="7"/>
  <c r="AM119" i="7"/>
  <c r="AJ117" i="7"/>
  <c r="AG117"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AG113" i="7"/>
  <c r="AF113" i="7"/>
  <c r="AG112" i="7"/>
  <c r="AF112" i="7"/>
  <c r="AG111" i="7"/>
  <c r="AF111" i="7"/>
  <c r="AG110" i="7"/>
  <c r="AF110" i="7"/>
  <c r="AG109" i="7"/>
  <c r="AF109" i="7"/>
  <c r="AG108" i="7"/>
  <c r="AF108" i="7"/>
  <c r="AG107" i="7"/>
  <c r="AF107" i="7"/>
  <c r="AG106" i="7"/>
  <c r="AF106" i="7"/>
  <c r="AG105" i="7"/>
  <c r="AF105" i="7"/>
  <c r="AG104" i="7"/>
  <c r="AF104" i="7"/>
  <c r="AG103" i="7"/>
  <c r="AF103" i="7"/>
  <c r="AG102" i="7"/>
  <c r="AF102" i="7"/>
  <c r="AG101" i="7"/>
  <c r="AF101" i="7"/>
  <c r="AG100" i="7"/>
  <c r="AF100" i="7"/>
  <c r="AG99" i="7"/>
  <c r="AF99" i="7"/>
  <c r="AG98" i="7"/>
  <c r="AF98" i="7"/>
  <c r="AG97" i="7"/>
  <c r="AF97" i="7"/>
  <c r="AG96" i="7"/>
  <c r="AF96" i="7"/>
  <c r="AG95" i="7"/>
  <c r="AF95" i="7"/>
  <c r="AG94" i="7"/>
  <c r="AF94" i="7"/>
  <c r="AG93" i="7"/>
  <c r="AF93" i="7"/>
  <c r="AG92" i="7"/>
  <c r="AF92" i="7"/>
  <c r="AG91" i="7"/>
  <c r="AF91" i="7"/>
  <c r="AG90" i="7"/>
  <c r="AF90" i="7"/>
  <c r="AG89" i="7"/>
  <c r="AF89" i="7"/>
  <c r="AG88" i="7"/>
  <c r="AF88" i="7"/>
  <c r="AG67" i="7"/>
  <c r="AF67" i="7"/>
  <c r="AG66" i="7"/>
  <c r="AF66" i="7"/>
  <c r="AG65" i="7"/>
  <c r="AF65" i="7"/>
  <c r="AG64" i="7"/>
  <c r="AF64" i="7"/>
  <c r="AE63" i="7"/>
  <c r="AE115" i="7" s="1"/>
  <c r="AD63" i="7"/>
  <c r="AD115" i="7" s="1"/>
  <c r="AC63" i="7"/>
  <c r="AC115" i="7" s="1"/>
  <c r="AB63" i="7"/>
  <c r="AA63" i="7"/>
  <c r="AA115" i="7" s="1"/>
  <c r="Z63" i="7"/>
  <c r="Y63" i="7"/>
  <c r="X63" i="7"/>
  <c r="W63" i="7"/>
  <c r="V63" i="7"/>
  <c r="V115" i="7" s="1"/>
  <c r="U63" i="7"/>
  <c r="U115" i="7" s="1"/>
  <c r="T63" i="7"/>
  <c r="T115" i="7" s="1"/>
  <c r="S63" i="7"/>
  <c r="R63" i="7"/>
  <c r="Q63" i="7"/>
  <c r="P63" i="7"/>
  <c r="O63" i="7"/>
  <c r="N63" i="7"/>
  <c r="M63" i="7"/>
  <c r="L63" i="7"/>
  <c r="K63" i="7"/>
  <c r="K115" i="7" s="1"/>
  <c r="J63" i="7"/>
  <c r="J115" i="7" s="1"/>
  <c r="I63" i="7"/>
  <c r="I115" i="7" s="1"/>
  <c r="H63" i="7"/>
  <c r="H115" i="7" s="1"/>
  <c r="G63" i="7"/>
  <c r="G115" i="7" s="1"/>
  <c r="AG62" i="7"/>
  <c r="AF62" i="7"/>
  <c r="AG61" i="7"/>
  <c r="AF61" i="7"/>
  <c r="AG60" i="7"/>
  <c r="AF60" i="7"/>
  <c r="AG59" i="7"/>
  <c r="AF59" i="7"/>
  <c r="AG58" i="7"/>
  <c r="AF58" i="7"/>
  <c r="AG57" i="7"/>
  <c r="AF57" i="7"/>
  <c r="AG56" i="7"/>
  <c r="AF56" i="7"/>
  <c r="AG55" i="7"/>
  <c r="AF55" i="7"/>
  <c r="AG54" i="7"/>
  <c r="AF54" i="7"/>
  <c r="AG53" i="7"/>
  <c r="AF53" i="7"/>
  <c r="AG52" i="7"/>
  <c r="AF52" i="7"/>
  <c r="AG51" i="7"/>
  <c r="AF51" i="7"/>
  <c r="AG50" i="7"/>
  <c r="AF50" i="7"/>
  <c r="AG49" i="7"/>
  <c r="AF49" i="7"/>
  <c r="AG48" i="7"/>
  <c r="AF48" i="7"/>
  <c r="AG47" i="7"/>
  <c r="AF47" i="7"/>
  <c r="AG46" i="7"/>
  <c r="AF46" i="7"/>
  <c r="AG45" i="7"/>
  <c r="AF45" i="7"/>
  <c r="AG44" i="7"/>
  <c r="AF44" i="7"/>
  <c r="AG43" i="7"/>
  <c r="AF43" i="7"/>
  <c r="AG42" i="7"/>
  <c r="AF42" i="7"/>
  <c r="AG41" i="7"/>
  <c r="AF41" i="7"/>
  <c r="AG20" i="7"/>
  <c r="AF20" i="7"/>
  <c r="AG19" i="7"/>
  <c r="AF19" i="7"/>
  <c r="AG18" i="7"/>
  <c r="AF18" i="7"/>
  <c r="AG17" i="7"/>
  <c r="AF17" i="7"/>
  <c r="AG16" i="7"/>
  <c r="AF16" i="7"/>
  <c r="AG15" i="7"/>
  <c r="AF15" i="7"/>
  <c r="AG14" i="7"/>
  <c r="AF14" i="7"/>
  <c r="AG13" i="7"/>
  <c r="AF13" i="7"/>
  <c r="AF63" i="7" s="1"/>
  <c r="M115" i="7" l="1"/>
  <c r="Y115" i="7"/>
  <c r="P115" i="7"/>
  <c r="AB115" i="7"/>
  <c r="AM132" i="7"/>
  <c r="L115" i="7"/>
  <c r="X115" i="7"/>
  <c r="AF114" i="7"/>
  <c r="AF115" i="7" s="1"/>
  <c r="R115" i="7"/>
  <c r="AM134" i="7"/>
  <c r="AM136" i="7"/>
  <c r="O115" i="7"/>
  <c r="W115" i="7"/>
  <c r="Z115" i="7"/>
  <c r="Q115" i="7"/>
  <c r="AG63" i="7"/>
  <c r="AG114" i="7"/>
  <c r="AL127" i="7" s="1"/>
  <c r="AL128" i="7" s="1"/>
  <c r="S115" i="7"/>
  <c r="N115" i="7"/>
  <c r="AM123" i="7"/>
  <c r="AM125" i="7" s="1"/>
  <c r="AG115" i="7" l="1"/>
  <c r="AM127" i="7" s="1"/>
  <c r="AM128" i="7" s="1"/>
  <c r="AK127" i="7"/>
  <c r="AK128"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Q9" authorId="0" shapeId="0" xr:uid="{544FFB3B-FB72-45FD-9A85-9B08A5340367}">
      <text>
        <r>
          <rPr>
            <b/>
            <sz val="11"/>
            <color indexed="81"/>
            <rFont val="Bookman Old Style"/>
            <family val="1"/>
          </rPr>
          <t xml:space="preserve">Educators Files:
</t>
        </r>
        <r>
          <rPr>
            <sz val="11"/>
            <color indexed="81"/>
            <rFont val="Bookman Old Style"/>
            <family val="1"/>
          </rPr>
          <t>Do not forget to change/update the number of school days.</t>
        </r>
      </text>
    </comment>
  </commentList>
</comments>
</file>

<file path=xl/sharedStrings.xml><?xml version="1.0" encoding="utf-8"?>
<sst xmlns="http://schemas.openxmlformats.org/spreadsheetml/2006/main" count="125" uniqueCount="102">
  <si>
    <t>Summary for the Month</t>
  </si>
  <si>
    <t>M</t>
  </si>
  <si>
    <t>F</t>
  </si>
  <si>
    <t>TOTAL</t>
  </si>
  <si>
    <t>ABSENT</t>
  </si>
  <si>
    <t>Average Daily Attendance</t>
  </si>
  <si>
    <t xml:space="preserve">Percentage of Attendance for the month </t>
  </si>
  <si>
    <t>Transferred out</t>
  </si>
  <si>
    <t>Transferred in</t>
  </si>
  <si>
    <t>I certify that this is a true and correct report.</t>
  </si>
  <si>
    <t>Attested by:</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</si>
  <si>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</si>
  <si>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</si>
  <si>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</si>
  <si>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</si>
  <si>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</si>
  <si>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</si>
  <si>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</si>
  <si>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</si>
  <si>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</si>
  <si>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</si>
  <si>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</si>
  <si>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</si>
  <si>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</si>
  <si>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</si>
  <si>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</si>
  <si>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</si>
  <si>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</si>
  <si>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</si>
  <si>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</si>
  <si>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</si>
  <si>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</si>
  <si>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f. Others</t>
  </si>
  <si>
    <t>GUIDELINES:</t>
  </si>
  <si>
    <t>1. The attendance shall be accomplished daily. Refer to the codes for checking learners' attendance.</t>
  </si>
  <si>
    <t>2. Dates shall be written in the preceding columns beside Learner's Name.</t>
  </si>
  <si>
    <t>Percentage of Enrolment =</t>
  </si>
  <si>
    <t>Registered Learner as of End of the Month</t>
  </si>
  <si>
    <t>x 100</t>
  </si>
  <si>
    <t xml:space="preserve">Average Daily Attendance = </t>
  </si>
  <si>
    <t>Total Daily Attendance</t>
  </si>
  <si>
    <t>Percentage of Attendance for the month =</t>
  </si>
  <si>
    <t>Average daily attendance</t>
  </si>
  <si>
    <t>Registered Learner as of End of the month</t>
  </si>
  <si>
    <t>3. To compute the following:</t>
  </si>
  <si>
    <t>a.</t>
  </si>
  <si>
    <t>c.</t>
  </si>
  <si>
    <t>b.</t>
  </si>
  <si>
    <t>T</t>
  </si>
  <si>
    <t>Number of students with 5 consecutive days of absences:</t>
  </si>
  <si>
    <t xml:space="preserve">Total for the Month             </t>
  </si>
  <si>
    <t>Month:</t>
  </si>
  <si>
    <t>No. of Days of Classes:</t>
  </si>
  <si>
    <t>1. CODES FOR CHECKING ATTENDANCE</t>
  </si>
  <si>
    <t>b.6. Lack of interest/Distractions</t>
  </si>
  <si>
    <t>School Year</t>
  </si>
  <si>
    <t>School ID</t>
  </si>
  <si>
    <t>Grade Level</t>
  </si>
  <si>
    <t>Section</t>
  </si>
  <si>
    <t>Name of School</t>
  </si>
  <si>
    <t>MALE  | TOTAL Per Day</t>
  </si>
  <si>
    <t xml:space="preserve">    Combined TOTAL PER DAY</t>
  </si>
  <si>
    <t>*</t>
  </si>
  <si>
    <t>Number of School Days in reporting month</t>
  </si>
  <si>
    <t>School Form 2 (SF2) Daily Attendance Report of Learners</t>
  </si>
  <si>
    <r>
      <rPr>
        <b/>
        <sz val="11"/>
        <color theme="1"/>
        <rFont val="Arial Narrow"/>
        <family val="2"/>
      </rPr>
      <t xml:space="preserve">blank- </t>
    </r>
    <r>
      <rPr>
        <sz val="11"/>
        <color theme="1"/>
        <rFont val="Arial Narrow"/>
        <family val="2"/>
      </rPr>
      <t>Present;   (x)- Absent; Tardy (half shaded= Upper for Late Commer, Lower for Cutting Classes)</t>
    </r>
  </si>
  <si>
    <r>
      <t xml:space="preserve">Registered Learner as of </t>
    </r>
    <r>
      <rPr>
        <b/>
        <i/>
        <sz val="12"/>
        <color theme="1"/>
        <rFont val="Arial Narrow"/>
        <family val="2"/>
      </rPr>
      <t>end of the month</t>
    </r>
  </si>
  <si>
    <r>
      <t>Percentage of Enrolment as of</t>
    </r>
    <r>
      <rPr>
        <b/>
        <i/>
        <sz val="12"/>
        <color theme="1"/>
        <rFont val="Arial Narrow"/>
        <family val="2"/>
      </rPr>
      <t xml:space="preserve"> end of the month</t>
    </r>
  </si>
  <si>
    <t>(1st row for date, 2nd row for Day: M,T,W,TH,F)</t>
  </si>
  <si>
    <r>
      <t xml:space="preserve">Late Enrollment </t>
    </r>
    <r>
      <rPr>
        <b/>
        <i/>
        <sz val="12"/>
        <color theme="1"/>
        <rFont val="Arial Narrow"/>
        <family val="2"/>
      </rPr>
      <t xml:space="preserve">during the month </t>
    </r>
    <r>
      <rPr>
        <i/>
        <sz val="12"/>
        <color theme="1"/>
        <rFont val="Arial Narrow"/>
        <family val="2"/>
      </rPr>
      <t xml:space="preserve">                                              (beyond cut-off)</t>
    </r>
  </si>
  <si>
    <t>Report for the  Month of</t>
  </si>
  <si>
    <t>FEMALE  | TOTAL Per Day</t>
  </si>
  <si>
    <t>4. Every End of the month, the class adviser will submit this form to the office of the principal for recording of 
     summary table into the School Form 4. Once signed by the principal, this form should be returned to the adviser.</t>
  </si>
  <si>
    <t>6.  Attendance performance of learner is expected to reflect in Form 137 and Form 138 every grading period</t>
  </si>
  <si>
    <t>d.2. Armed conflict (incl. Tribal wars &amp; clanfeuds)</t>
  </si>
  <si>
    <t>5. The adviser will extend neccessary intervention including but not limited to home visitation  to learner/s that committed 5 consecutive days of absences or those with potentials of dropping out</t>
  </si>
  <si>
    <t xml:space="preserve">LEARNER'S NAME                                                                                         (Last Name, First Name, Middle Name)                                  </t>
  </si>
  <si>
    <t>PRESENT</t>
  </si>
  <si>
    <t>W</t>
  </si>
  <si>
    <t>TH</t>
  </si>
  <si>
    <t>* Enrolment  as of  (1st Friday of the SY)</t>
  </si>
  <si>
    <t>Enrolment as of 1st Friday of the SY</t>
  </si>
  <si>
    <t>No of School Days:</t>
  </si>
  <si>
    <t>x</t>
  </si>
  <si>
    <t>h</t>
  </si>
  <si>
    <t>REMARKS (If NLS, state reason, please refer to legend number 2. If TRANSFERRED IN/OUT, write the name of School.)</t>
  </si>
  <si>
    <t>(This replaces Form 1, Form 2 &amp; STS Form 4 - Absenteeism and Dropout Profile)</t>
  </si>
  <si>
    <t>NLS</t>
  </si>
  <si>
    <t>Beginning of School Year cut-off report is every 1st Friday of the School Year</t>
  </si>
  <si>
    <t>2. REASONS/CAUSES FOR NLS</t>
  </si>
  <si>
    <t>(Signature of Adviser over Printed Name)</t>
  </si>
  <si>
    <t>(Signature of School Head over Printed Name)</t>
  </si>
  <si>
    <t>Code:</t>
  </si>
  <si>
    <t>[blank]</t>
  </si>
  <si>
    <t>present</t>
  </si>
  <si>
    <t>absent</t>
  </si>
  <si>
    <t>half-day (optional)</t>
  </si>
  <si>
    <t>Note:</t>
  </si>
  <si>
    <t>Please remember to include only the days when there are classes.</t>
  </si>
  <si>
    <t>THIS PART WILL NOT BE PRINTED.</t>
  </si>
  <si>
    <t>SEPTEMBER</t>
  </si>
  <si>
    <t>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</si>
</sst>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1"/>
      <color theme="1"/>
      <name val="Calibri"/>
      <family val="2"/>
      <scheme val="minor"/>
    </font>
    <font>
      <sz val="11"/>
      <color theme="1"/>
      <name val="Calibri"/>
      <family val="2"/>
      <scheme val="minor"/>
    </font>
    <font>
      <sz val="10"/>
      <color theme="1"/>
      <name val="Arial"/>
      <family val="2"/>
    </font>
    <font>
      <b/>
      <sz val="22"/>
      <color theme="1"/>
      <name val="Arial Narrow"/>
      <family val="2"/>
    </font>
    <font>
      <b/>
      <sz val="16"/>
      <color theme="1"/>
      <name val="Arial Narrow"/>
      <family val="2"/>
    </font>
    <font>
      <b/>
      <sz val="11"/>
      <color theme="1"/>
      <name val="Arial Narrow"/>
      <family val="2"/>
    </font>
    <font>
      <sz val="11"/>
      <color theme="1"/>
      <name val="Arial Narrow"/>
      <family val="2"/>
    </font>
    <font>
      <sz val="12"/>
      <color theme="1"/>
      <name val="Arial Narrow"/>
      <family val="2"/>
    </font>
    <font>
      <b/>
      <sz val="12"/>
      <color theme="1"/>
      <name val="Arial Narrow"/>
      <family val="2"/>
    </font>
    <font>
      <i/>
      <sz val="11"/>
      <color theme="1"/>
      <name val="Arial Narrow"/>
      <family val="2"/>
    </font>
    <font>
      <b/>
      <sz val="14"/>
      <color theme="1"/>
      <name val="Arial Narrow"/>
      <family val="2"/>
    </font>
    <font>
      <sz val="16"/>
      <color theme="1"/>
      <name val="Arial Narrow"/>
      <family val="2"/>
    </font>
    <font>
      <i/>
      <sz val="12"/>
      <color theme="1"/>
      <name val="Arial Narrow"/>
      <family val="2"/>
    </font>
    <font>
      <b/>
      <sz val="18"/>
      <color theme="1"/>
      <name val="Arial Narrow"/>
      <family val="2"/>
    </font>
    <font>
      <sz val="11"/>
      <color rgb="FF000000"/>
      <name val="Arial Narrow"/>
      <family val="2"/>
    </font>
    <font>
      <b/>
      <i/>
      <sz val="11"/>
      <color theme="1"/>
      <name val="Arial Narrow"/>
      <family val="2"/>
    </font>
    <font>
      <b/>
      <i/>
      <sz val="12"/>
      <color theme="1"/>
      <name val="Arial Narrow"/>
      <family val="2"/>
    </font>
    <font>
      <sz val="14"/>
      <name val="Arial Narrow"/>
      <family val="2"/>
    </font>
    <font>
      <b/>
      <sz val="11"/>
      <color indexed="81"/>
      <name val="Bookman Old Style"/>
      <family val="1"/>
    </font>
    <font>
      <sz val="11"/>
      <color indexed="81"/>
      <name val="Bookman Old Style"/>
      <family val="1"/>
    </font>
    <font>
      <b/>
      <sz val="9"/>
      <color theme="1"/>
      <name val="Arial Narrow"/>
      <family val="2"/>
    </font>
  </fonts>
  <fills count="3">
    <fill>
      <patternFill patternType="none"/>
    </fill>
    <fill>
      <patternFill patternType="gray125"/>
    </fill>
    <fill>
      <patternFill patternType="solid">
        <fgColor theme="0" tint="-4.9989318521683403E-2"/>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thin">
        <color auto="1"/>
      </left>
      <right/>
      <top/>
      <bottom/>
      <diagonal/>
    </border>
    <border>
      <left/>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indexed="64"/>
      </top>
      <bottom style="thin">
        <color indexed="64"/>
      </bottom>
      <diagonal/>
    </border>
    <border>
      <left style="thin">
        <color auto="1"/>
      </left>
      <right/>
      <top style="medium">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
      <left/>
      <right style="thin">
        <color indexed="64"/>
      </right>
      <top/>
      <bottom/>
      <diagonal/>
    </border>
    <border>
      <left/>
      <right/>
      <top style="medium">
        <color auto="1"/>
      </top>
      <bottom style="thin">
        <color auto="1"/>
      </bottom>
      <diagonal/>
    </border>
    <border>
      <left style="medium">
        <color auto="1"/>
      </left>
      <right/>
      <top/>
      <bottom style="thin">
        <color auto="1"/>
      </bottom>
      <diagonal/>
    </border>
    <border>
      <left/>
      <right style="thin">
        <color indexed="64"/>
      </right>
      <top style="medium">
        <color auto="1"/>
      </top>
      <bottom/>
      <diagonal/>
    </border>
    <border>
      <left style="medium">
        <color auto="1"/>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indexed="64"/>
      </right>
      <top style="medium">
        <color indexed="64"/>
      </top>
      <bottom style="medium">
        <color indexed="64"/>
      </bottom>
      <diagonal/>
    </border>
    <border>
      <left style="medium">
        <color auto="1"/>
      </left>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style="thin">
        <color indexed="64"/>
      </top>
      <bottom style="medium">
        <color auto="1"/>
      </bottom>
      <diagonal/>
    </border>
    <border>
      <left style="thin">
        <color auto="1"/>
      </left>
      <right/>
      <top style="thin">
        <color auto="1"/>
      </top>
      <bottom style="medium">
        <color auto="1"/>
      </bottom>
      <diagonal/>
    </border>
  </borders>
  <cellStyleXfs count="4">
    <xf numFmtId="0" fontId="0" fillId="0" borderId="0"/>
    <xf numFmtId="0" fontId="1" fillId="0" borderId="0"/>
    <xf numFmtId="0" fontId="2" fillId="0" borderId="0"/>
    <xf numFmtId="9" fontId="1" fillId="0" borderId="0" applyFont="0" applyFill="0" applyBorder="0" applyAlignment="0" applyProtection="0"/>
  </cellStyleXfs>
  <cellXfs count="255">
    <xf numFmtId="0" fontId="0" fillId="0" borderId="0" xfId="0"/>
    <xf numFmtId="0" fontId="5" fillId="0" borderId="13" xfId="0" applyFont="1" applyBorder="1" applyAlignment="1">
      <alignment vertical="center" textRotation="90"/>
    </xf>
    <xf numFmtId="0" fontId="5" fillId="0" borderId="14" xfId="0" applyFont="1" applyBorder="1" applyAlignment="1">
      <alignment vertical="center" textRotation="90"/>
    </xf>
    <xf numFmtId="0" fontId="5" fillId="0" borderId="15" xfId="0" applyFont="1" applyBorder="1" applyAlignment="1">
      <alignment vertical="center" textRotation="90"/>
    </xf>
    <xf numFmtId="0" fontId="5" fillId="0" borderId="53" xfId="0" applyFont="1" applyBorder="1" applyAlignment="1">
      <alignment vertical="center" textRotation="90"/>
    </xf>
    <xf numFmtId="0" fontId="5" fillId="0" borderId="35" xfId="0" applyFont="1" applyBorder="1" applyAlignment="1">
      <alignment vertical="center" textRotation="90"/>
    </xf>
    <xf numFmtId="0" fontId="5" fillId="0" borderId="10" xfId="0" applyFont="1" applyBorder="1" applyAlignment="1">
      <alignment vertical="center" textRotation="90"/>
    </xf>
    <xf numFmtId="0" fontId="5" fillId="0" borderId="11" xfId="0" applyFont="1" applyBorder="1" applyAlignment="1">
      <alignment vertical="center" textRotation="90"/>
    </xf>
    <xf numFmtId="0" fontId="5" fillId="0" borderId="12" xfId="0" applyFont="1" applyBorder="1" applyAlignment="1">
      <alignment vertical="center" textRotation="90"/>
    </xf>
    <xf numFmtId="0" fontId="5" fillId="0" borderId="39" xfId="0" applyFont="1" applyBorder="1" applyAlignment="1">
      <alignment vertical="center" textRotation="90"/>
    </xf>
    <xf numFmtId="0" fontId="5" fillId="0" borderId="40" xfId="0" applyFont="1" applyBorder="1" applyAlignment="1">
      <alignment vertical="center" textRotation="90"/>
    </xf>
    <xf numFmtId="0" fontId="6" fillId="0" borderId="30" xfId="0" applyFont="1" applyBorder="1" applyAlignment="1">
      <alignment vertical="center"/>
    </xf>
    <xf numFmtId="0" fontId="9" fillId="0" borderId="0" xfId="0" applyFont="1"/>
    <xf numFmtId="0" fontId="5" fillId="0" borderId="0" xfId="0" applyFont="1" applyAlignment="1">
      <alignment vertical="center"/>
    </xf>
    <xf numFmtId="0" fontId="10" fillId="0" borderId="0" xfId="0" applyFont="1"/>
    <xf numFmtId="0" fontId="5" fillId="0" borderId="0" xfId="0" applyFont="1"/>
    <xf numFmtId="0" fontId="6" fillId="0" borderId="0" xfId="0" applyFont="1" applyAlignment="1">
      <alignment vertical="center"/>
    </xf>
    <xf numFmtId="0" fontId="13" fillId="0" borderId="0" xfId="0" applyFont="1" applyAlignment="1">
      <alignment horizontal="center" vertical="center"/>
    </xf>
    <xf numFmtId="0" fontId="4" fillId="0" borderId="0" xfId="0" applyFont="1" applyAlignment="1">
      <alignment vertical="center"/>
    </xf>
    <xf numFmtId="0" fontId="15" fillId="0" borderId="0" xfId="0" applyFont="1" applyAlignment="1">
      <alignment horizontal="left" vertical="center"/>
    </xf>
    <xf numFmtId="0" fontId="8" fillId="0" borderId="0" xfId="0" applyFont="1" applyAlignment="1">
      <alignment vertical="center"/>
    </xf>
    <xf numFmtId="0" fontId="12" fillId="0" borderId="0" xfId="0" applyFont="1" applyAlignment="1">
      <alignment vertical="center"/>
    </xf>
    <xf numFmtId="0" fontId="7" fillId="0" borderId="0" xfId="0" applyFont="1" applyAlignment="1">
      <alignment vertical="center"/>
    </xf>
    <xf numFmtId="0" fontId="5" fillId="0" borderId="0" xfId="0" applyFont="1" applyAlignment="1">
      <alignment vertical="center" wrapText="1"/>
    </xf>
    <xf numFmtId="0" fontId="5" fillId="0" borderId="8" xfId="0" applyFont="1" applyBorder="1" applyAlignment="1">
      <alignment vertical="center"/>
    </xf>
    <xf numFmtId="0" fontId="6" fillId="0" borderId="19" xfId="0" applyFont="1" applyBorder="1"/>
    <xf numFmtId="0" fontId="6" fillId="0" borderId="19" xfId="0" applyFont="1" applyBorder="1" applyAlignment="1">
      <alignment vertical="center"/>
    </xf>
    <xf numFmtId="0" fontId="5" fillId="0" borderId="19" xfId="0" applyFont="1" applyBorder="1" applyAlignment="1">
      <alignment vertical="center"/>
    </xf>
    <xf numFmtId="0" fontId="5" fillId="0" borderId="9" xfId="0" applyFont="1" applyBorder="1" applyAlignment="1">
      <alignment vertical="center" wrapText="1"/>
    </xf>
    <xf numFmtId="0" fontId="5" fillId="0" borderId="33" xfId="0" applyFont="1" applyBorder="1" applyAlignment="1">
      <alignment vertical="center" wrapText="1"/>
    </xf>
    <xf numFmtId="0" fontId="6" fillId="0" borderId="34" xfId="0" applyFont="1" applyBorder="1" applyAlignment="1">
      <alignment vertical="center"/>
    </xf>
    <xf numFmtId="0" fontId="5" fillId="0" borderId="52" xfId="0" applyFont="1" applyBorder="1" applyAlignment="1">
      <alignment horizontal="center" vertical="center"/>
    </xf>
    <xf numFmtId="0" fontId="5" fillId="0" borderId="41" xfId="0" applyFont="1" applyBorder="1" applyAlignment="1">
      <alignment horizontal="center" vertical="center"/>
    </xf>
    <xf numFmtId="0" fontId="5" fillId="0" borderId="46" xfId="0" applyFont="1" applyBorder="1" applyAlignment="1">
      <alignment horizontal="center" vertical="center"/>
    </xf>
    <xf numFmtId="0" fontId="5" fillId="0" borderId="32" xfId="0" applyFont="1" applyBorder="1" applyAlignment="1">
      <alignment vertical="center"/>
    </xf>
    <xf numFmtId="0" fontId="6" fillId="0" borderId="0" xfId="0" applyFont="1" applyAlignment="1">
      <alignment horizontal="left" vertical="center"/>
    </xf>
    <xf numFmtId="0" fontId="7" fillId="0" borderId="0" xfId="0" applyFont="1" applyAlignment="1">
      <alignment vertical="center" wrapText="1"/>
    </xf>
    <xf numFmtId="0" fontId="6" fillId="0" borderId="32"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top" wrapText="1"/>
    </xf>
    <xf numFmtId="0" fontId="7" fillId="0" borderId="0" xfId="0" applyFont="1" applyAlignment="1">
      <alignment vertical="top" wrapText="1"/>
    </xf>
    <xf numFmtId="0" fontId="6" fillId="0" borderId="0" xfId="0" applyFont="1" applyAlignment="1">
      <alignment vertical="center" wrapText="1"/>
    </xf>
    <xf numFmtId="0" fontId="7" fillId="0" borderId="0" xfId="0" applyFont="1" applyAlignment="1">
      <alignment horizontal="right" vertical="center"/>
    </xf>
    <xf numFmtId="0" fontId="9" fillId="0" borderId="0" xfId="0" applyFont="1" applyAlignment="1">
      <alignment horizontal="center" vertical="center"/>
    </xf>
    <xf numFmtId="0" fontId="6" fillId="0" borderId="0" xfId="0" applyFont="1" applyAlignment="1">
      <alignment horizontal="left" vertical="center" wrapText="1"/>
    </xf>
    <xf numFmtId="0" fontId="9" fillId="0" borderId="0" xfId="0" applyFont="1" applyAlignment="1">
      <alignment vertical="center"/>
    </xf>
    <xf numFmtId="0" fontId="15" fillId="0" borderId="0" xfId="0" applyFont="1" applyAlignment="1">
      <alignment horizontal="center" vertical="center"/>
    </xf>
    <xf numFmtId="0" fontId="6" fillId="0" borderId="0" xfId="0" applyFont="1" applyAlignment="1">
      <alignment horizontal="left" vertical="center" indent="3"/>
    </xf>
    <xf numFmtId="0" fontId="6" fillId="0" borderId="33" xfId="0" applyFont="1" applyBorder="1" applyAlignment="1">
      <alignment vertical="center"/>
    </xf>
    <xf numFmtId="0" fontId="5" fillId="0" borderId="29" xfId="0" applyFont="1" applyBorder="1" applyAlignment="1">
      <alignment vertical="center"/>
    </xf>
    <xf numFmtId="0" fontId="11" fillId="0" borderId="0" xfId="0" applyFont="1" applyAlignment="1">
      <alignment horizontal="right" vertical="center"/>
    </xf>
    <xf numFmtId="0" fontId="11" fillId="0" borderId="0" xfId="0" applyFont="1" applyAlignment="1">
      <alignment vertical="center"/>
    </xf>
    <xf numFmtId="0" fontId="11" fillId="0" borderId="0" xfId="0" applyFont="1" applyAlignment="1">
      <alignment horizontal="center" vertical="center"/>
    </xf>
    <xf numFmtId="0" fontId="9" fillId="2" borderId="4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5" fillId="2" borderId="18"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43" xfId="0" applyFont="1" applyFill="1" applyBorder="1" applyAlignment="1">
      <alignment horizontal="center" vertical="center"/>
    </xf>
    <xf numFmtId="0" fontId="5" fillId="2" borderId="6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36"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61" xfId="0" applyFont="1" applyFill="1" applyBorder="1" applyAlignment="1">
      <alignment horizontal="center" vertical="center"/>
    </xf>
    <xf numFmtId="0" fontId="5" fillId="2" borderId="62" xfId="0" applyFont="1" applyFill="1" applyBorder="1" applyAlignment="1">
      <alignment horizontal="center" vertical="center"/>
    </xf>
    <xf numFmtId="0" fontId="5" fillId="2" borderId="63" xfId="0" applyFont="1" applyFill="1" applyBorder="1" applyAlignment="1">
      <alignment horizontal="center" vertical="center"/>
    </xf>
    <xf numFmtId="0" fontId="6" fillId="2" borderId="8" xfId="0" applyFont="1" applyFill="1" applyBorder="1" applyAlignment="1">
      <alignment vertical="center" wrapText="1"/>
    </xf>
    <xf numFmtId="0" fontId="6" fillId="2" borderId="19" xfId="0" applyFont="1" applyFill="1" applyBorder="1" applyAlignment="1">
      <alignment vertical="center" wrapText="1"/>
    </xf>
    <xf numFmtId="0" fontId="6" fillId="2" borderId="9" xfId="0" applyFont="1" applyFill="1" applyBorder="1" applyAlignment="1">
      <alignment vertical="center" wrapText="1"/>
    </xf>
    <xf numFmtId="0" fontId="5" fillId="2" borderId="64" xfId="0" applyFont="1" applyFill="1" applyBorder="1" applyAlignment="1">
      <alignment horizontal="center" vertical="center"/>
    </xf>
    <xf numFmtId="0" fontId="5" fillId="2" borderId="3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6" fillId="0" borderId="3" xfId="0" applyFont="1" applyBorder="1" applyAlignment="1" applyProtection="1">
      <alignment horizontal="center" vertical="center"/>
      <protection locked="0"/>
    </xf>
    <xf numFmtId="0" fontId="6" fillId="0" borderId="38" xfId="0" applyFont="1" applyBorder="1" applyAlignment="1" applyProtection="1">
      <alignment horizontal="center" vertical="center"/>
      <protection locked="0"/>
    </xf>
    <xf numFmtId="0" fontId="6" fillId="0" borderId="57" xfId="1" applyFont="1" applyBorder="1" applyAlignment="1" applyProtection="1">
      <alignment horizontal="center" vertical="center"/>
      <protection locked="0"/>
    </xf>
    <xf numFmtId="0" fontId="6" fillId="0" borderId="58" xfId="1" applyFont="1" applyBorder="1" applyAlignment="1" applyProtection="1">
      <alignment horizontal="center" vertical="center"/>
      <protection locked="0"/>
    </xf>
    <xf numFmtId="0" fontId="6" fillId="0" borderId="58" xfId="0" applyFont="1" applyBorder="1" applyAlignment="1" applyProtection="1">
      <alignment horizontal="center" vertical="center"/>
      <protection locked="0"/>
    </xf>
    <xf numFmtId="0" fontId="6" fillId="0" borderId="59" xfId="0" applyFont="1" applyBorder="1" applyAlignment="1" applyProtection="1">
      <alignment horizontal="center" vertical="center"/>
      <protection locked="0"/>
    </xf>
    <xf numFmtId="0" fontId="6" fillId="0" borderId="51" xfId="0" applyFont="1" applyBorder="1" applyAlignment="1" applyProtection="1">
      <alignment horizontal="center" vertical="center"/>
      <protection locked="0"/>
    </xf>
    <xf numFmtId="0" fontId="6" fillId="0" borderId="44" xfId="0" applyFont="1" applyBorder="1" applyAlignment="1" applyProtection="1">
      <alignment horizontal="center" vertical="center"/>
      <protection locked="0"/>
    </xf>
    <xf numFmtId="0" fontId="6" fillId="0" borderId="57" xfId="0" applyFont="1" applyBorder="1" applyAlignment="1" applyProtection="1">
      <alignment horizontal="center" vertical="center"/>
      <protection locked="0"/>
    </xf>
    <xf numFmtId="0" fontId="14" fillId="0" borderId="25" xfId="1" applyFont="1" applyBorder="1" applyAlignment="1" applyProtection="1">
      <alignment horizontal="center" vertical="center" wrapText="1"/>
      <protection locked="0"/>
    </xf>
    <xf numFmtId="0" fontId="14" fillId="0" borderId="1" xfId="1"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45"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6" fillId="0" borderId="37"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0" fontId="6" fillId="0" borderId="50" xfId="0" applyFont="1" applyBorder="1" applyAlignment="1" applyProtection="1">
      <alignment horizontal="center" vertical="center"/>
      <protection locked="0"/>
    </xf>
    <xf numFmtId="0" fontId="6" fillId="0" borderId="23" xfId="1"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6" fillId="0" borderId="25" xfId="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0" fontId="8" fillId="0" borderId="23"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47" xfId="0" applyFont="1" applyBorder="1" applyAlignment="1" applyProtection="1">
      <alignment horizontal="center" vertical="center"/>
      <protection locked="0"/>
    </xf>
    <xf numFmtId="0" fontId="8" fillId="0" borderId="48"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5" fillId="0" borderId="0" xfId="0" applyFont="1" applyAlignment="1">
      <alignment horizontal="center" vertical="center"/>
    </xf>
    <xf numFmtId="0" fontId="8" fillId="2" borderId="19" xfId="0" applyFont="1" applyFill="1" applyBorder="1" applyAlignment="1">
      <alignment horizontal="center" vertical="center"/>
    </xf>
    <xf numFmtId="0" fontId="4" fillId="0" borderId="30" xfId="0" applyFont="1" applyBorder="1" applyAlignment="1">
      <alignment horizontal="center" vertical="center" wrapText="1"/>
    </xf>
    <xf numFmtId="0" fontId="4" fillId="0" borderId="29" xfId="0" applyFont="1" applyBorder="1" applyAlignment="1">
      <alignment vertical="center" wrapText="1"/>
    </xf>
    <xf numFmtId="0" fontId="8" fillId="2" borderId="8" xfId="0" applyFont="1" applyFill="1" applyBorder="1" applyAlignment="1">
      <alignment vertical="center"/>
    </xf>
    <xf numFmtId="0" fontId="4" fillId="0" borderId="27" xfId="0" applyFont="1" applyBorder="1" applyAlignment="1">
      <alignment horizontal="center" vertical="center" wrapText="1"/>
    </xf>
    <xf numFmtId="0" fontId="4" fillId="0" borderId="0" xfId="0" applyFont="1" applyAlignment="1">
      <alignment horizontal="center" vertical="center" wrapText="1"/>
    </xf>
    <xf numFmtId="0" fontId="17" fillId="0" borderId="0" xfId="0" applyFont="1" applyAlignment="1">
      <alignment horizontal="center"/>
    </xf>
    <xf numFmtId="0" fontId="6" fillId="0" borderId="43" xfId="0" applyFont="1" applyBorder="1" applyAlignment="1" applyProtection="1">
      <alignment horizontal="center" vertical="center"/>
      <protection locked="0"/>
    </xf>
    <xf numFmtId="0" fontId="12" fillId="0" borderId="0" xfId="0" applyFont="1" applyAlignment="1">
      <alignment horizontal="right" vertical="center"/>
    </xf>
    <xf numFmtId="0" fontId="12" fillId="0" borderId="0" xfId="0" applyFont="1" applyAlignment="1">
      <alignment horizontal="right" vertical="center" wrapText="1"/>
    </xf>
    <xf numFmtId="0" fontId="6" fillId="0" borderId="22" xfId="0" applyFont="1" applyBorder="1" applyAlignment="1" applyProtection="1">
      <alignment horizontal="center" vertical="center"/>
      <protection locked="0"/>
    </xf>
    <xf numFmtId="0" fontId="6" fillId="0" borderId="54" xfId="1" applyFont="1" applyBorder="1" applyAlignment="1" applyProtection="1">
      <alignment horizontal="center" vertical="center"/>
      <protection locked="0"/>
    </xf>
    <xf numFmtId="0" fontId="14" fillId="0" borderId="43" xfId="1" applyFont="1" applyBorder="1" applyAlignment="1" applyProtection="1">
      <alignment horizontal="center" vertical="center" wrapText="1"/>
      <protection locked="0"/>
    </xf>
    <xf numFmtId="0" fontId="6" fillId="0" borderId="36" xfId="0" applyFont="1" applyBorder="1" applyAlignment="1" applyProtection="1">
      <alignment horizontal="center" vertical="center"/>
      <protection locked="0"/>
    </xf>
    <xf numFmtId="0" fontId="6" fillId="0" borderId="6" xfId="1" applyFont="1" applyBorder="1" applyAlignment="1" applyProtection="1">
      <alignment horizontal="center" vertical="center"/>
      <protection locked="0"/>
    </xf>
    <xf numFmtId="0" fontId="6" fillId="0" borderId="43" xfId="1" applyFont="1" applyBorder="1" applyAlignment="1" applyProtection="1">
      <alignment horizontal="center" vertical="center"/>
      <protection locked="0"/>
    </xf>
    <xf numFmtId="0" fontId="10" fillId="2" borderId="53" xfId="0" applyFont="1" applyFill="1" applyBorder="1" applyAlignment="1">
      <alignment horizontal="center" vertical="center"/>
    </xf>
    <xf numFmtId="0" fontId="6" fillId="0" borderId="44" xfId="1" applyFont="1" applyBorder="1" applyAlignment="1" applyProtection="1">
      <alignment horizontal="left" vertical="center"/>
      <protection locked="0"/>
    </xf>
    <xf numFmtId="0" fontId="14" fillId="0" borderId="3" xfId="1" applyFont="1" applyBorder="1" applyAlignment="1" applyProtection="1">
      <alignment horizontal="left" vertical="center" wrapText="1"/>
      <protection locked="0"/>
    </xf>
    <xf numFmtId="0" fontId="6" fillId="0" borderId="3" xfId="0" applyFont="1" applyBorder="1" applyAlignment="1" applyProtection="1">
      <alignment horizontal="left" vertical="center"/>
      <protection locked="0"/>
    </xf>
    <xf numFmtId="0" fontId="6" fillId="0" borderId="69" xfId="0" applyFont="1" applyBorder="1" applyAlignment="1" applyProtection="1">
      <alignment horizontal="left" vertical="center"/>
      <protection locked="0"/>
    </xf>
    <xf numFmtId="0" fontId="6" fillId="0" borderId="3" xfId="1" applyFont="1" applyBorder="1" applyAlignment="1" applyProtection="1">
      <alignment horizontal="left" vertical="center"/>
      <protection locked="0"/>
    </xf>
    <xf numFmtId="0" fontId="3" fillId="0" borderId="0" xfId="0" applyFont="1" applyAlignment="1">
      <alignment horizontal="center" vertical="center"/>
    </xf>
    <xf numFmtId="0" fontId="12" fillId="0" borderId="0" xfId="0" applyFont="1" applyAlignment="1">
      <alignment horizontal="center" vertical="center"/>
    </xf>
    <xf numFmtId="0" fontId="11" fillId="0" borderId="3" xfId="0" applyFont="1" applyBorder="1" applyAlignment="1" applyProtection="1">
      <alignment horizontal="center" vertical="center"/>
      <protection locked="0"/>
    </xf>
    <xf numFmtId="0" fontId="11" fillId="0" borderId="43"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1" fillId="0" borderId="0" xfId="0" applyFont="1" applyAlignment="1">
      <alignment horizontal="right" vertical="center"/>
    </xf>
    <xf numFmtId="0" fontId="11" fillId="0" borderId="53" xfId="0" applyFont="1" applyBorder="1" applyAlignment="1">
      <alignment horizontal="right" vertical="center"/>
    </xf>
    <xf numFmtId="17" fontId="11" fillId="0" borderId="3" xfId="0" applyNumberFormat="1" applyFont="1" applyBorder="1" applyAlignment="1" applyProtection="1">
      <alignment horizontal="center" vertical="center"/>
      <protection locked="0"/>
    </xf>
    <xf numFmtId="0" fontId="5" fillId="0" borderId="1" xfId="0" applyFont="1" applyBorder="1" applyAlignment="1">
      <alignment horizontal="center" vertical="center" wrapText="1"/>
    </xf>
    <xf numFmtId="0" fontId="6" fillId="0" borderId="1" xfId="0" applyFont="1" applyBorder="1" applyAlignment="1" applyProtection="1">
      <alignment horizontal="center" vertical="center"/>
      <protection locked="0"/>
    </xf>
    <xf numFmtId="164" fontId="8" fillId="0" borderId="31" xfId="0" applyNumberFormat="1" applyFont="1" applyBorder="1" applyAlignment="1">
      <alignment horizontal="center" vertical="center"/>
    </xf>
    <xf numFmtId="164" fontId="8" fillId="0" borderId="34" xfId="0" applyNumberFormat="1" applyFont="1" applyBorder="1" applyAlignment="1">
      <alignment horizontal="center" vertical="center"/>
    </xf>
    <xf numFmtId="164" fontId="8" fillId="0" borderId="28" xfId="0" applyNumberFormat="1" applyFont="1" applyBorder="1" applyAlignment="1">
      <alignment horizontal="center" vertical="center"/>
    </xf>
    <xf numFmtId="164" fontId="8" fillId="0" borderId="20" xfId="0" applyNumberFormat="1" applyFont="1" applyBorder="1" applyAlignment="1">
      <alignment horizontal="center" vertical="center"/>
    </xf>
    <xf numFmtId="0" fontId="5" fillId="0" borderId="0" xfId="0" applyFont="1" applyAlignment="1">
      <alignment horizontal="center" vertical="center"/>
    </xf>
    <xf numFmtId="0" fontId="11" fillId="0" borderId="1" xfId="0" applyFont="1" applyBorder="1" applyAlignment="1" applyProtection="1">
      <alignment horizontal="center" vertical="center"/>
      <protection locked="0"/>
    </xf>
    <xf numFmtId="0" fontId="11" fillId="0" borderId="35" xfId="0" applyFont="1" applyBorder="1" applyAlignment="1">
      <alignment horizontal="right" vertical="center"/>
    </xf>
    <xf numFmtId="0" fontId="6" fillId="0" borderId="21" xfId="0" applyFont="1" applyBorder="1" applyAlignment="1" applyProtection="1">
      <alignment horizontal="center" vertical="center"/>
      <protection locked="0"/>
    </xf>
    <xf numFmtId="0" fontId="6" fillId="0" borderId="43"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65" xfId="0" applyFont="1" applyBorder="1" applyAlignment="1" applyProtection="1">
      <alignment horizontal="center" vertical="center"/>
      <protection locked="0"/>
    </xf>
    <xf numFmtId="0" fontId="6" fillId="0" borderId="54"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0" xfId="0" applyFont="1" applyAlignment="1">
      <alignment horizontal="center" vertical="center" wrapText="1"/>
    </xf>
    <xf numFmtId="0" fontId="8" fillId="0" borderId="8" xfId="0" applyFont="1" applyBorder="1" applyAlignment="1">
      <alignment horizontal="center" vertical="center"/>
    </xf>
    <xf numFmtId="0" fontId="8" fillId="0" borderId="19" xfId="0" applyFont="1" applyBorder="1" applyAlignment="1">
      <alignment horizontal="center" vertical="center"/>
    </xf>
    <xf numFmtId="0" fontId="8" fillId="0" borderId="9" xfId="0" applyFont="1" applyBorder="1" applyAlignment="1">
      <alignment horizontal="center" vertical="center"/>
    </xf>
    <xf numFmtId="0" fontId="8" fillId="0" borderId="27"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0" xfId="0" applyFont="1" applyAlignment="1">
      <alignment horizontal="center" vertical="center" wrapText="1"/>
    </xf>
    <xf numFmtId="0" fontId="7" fillId="0" borderId="33"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4" xfId="0" applyFont="1" applyBorder="1" applyAlignment="1">
      <alignment horizontal="center" vertical="center" wrapText="1"/>
    </xf>
    <xf numFmtId="0" fontId="6" fillId="0" borderId="66" xfId="0" applyFont="1" applyBorder="1" applyAlignment="1" applyProtection="1">
      <alignment horizontal="center" vertical="center"/>
      <protection locked="0"/>
    </xf>
    <xf numFmtId="0" fontId="6" fillId="0" borderId="67" xfId="0" applyFont="1" applyBorder="1" applyAlignment="1" applyProtection="1">
      <alignment horizontal="center" vertical="center"/>
      <protection locked="0"/>
    </xf>
    <xf numFmtId="0" fontId="8" fillId="2" borderId="8" xfId="0" applyFont="1" applyFill="1" applyBorder="1" applyAlignment="1">
      <alignment horizontal="center" vertical="center"/>
    </xf>
    <xf numFmtId="0" fontId="8" fillId="2" borderId="19" xfId="0" applyFont="1" applyFill="1" applyBorder="1" applyAlignment="1">
      <alignment horizontal="center" vertical="center"/>
    </xf>
    <xf numFmtId="0" fontId="6" fillId="2" borderId="61" xfId="0" applyFont="1" applyFill="1" applyBorder="1" applyAlignment="1">
      <alignment horizontal="center" vertical="center" wrapText="1"/>
    </xf>
    <xf numFmtId="0" fontId="6" fillId="2" borderId="62" xfId="0" applyFont="1" applyFill="1" applyBorder="1" applyAlignment="1">
      <alignment horizontal="center" vertical="center" wrapText="1"/>
    </xf>
    <xf numFmtId="0" fontId="6" fillId="2" borderId="63" xfId="0" applyFont="1" applyFill="1" applyBorder="1" applyAlignment="1">
      <alignment horizontal="center" vertical="center" wrapText="1"/>
    </xf>
    <xf numFmtId="0" fontId="10" fillId="2" borderId="5" xfId="0" applyFont="1" applyFill="1" applyBorder="1" applyAlignment="1">
      <alignment horizontal="center" vertical="center"/>
    </xf>
    <xf numFmtId="0" fontId="6" fillId="2" borderId="29" xfId="0" applyFont="1" applyFill="1" applyBorder="1" applyAlignment="1">
      <alignment horizontal="center" vertical="center"/>
    </xf>
    <xf numFmtId="0" fontId="6" fillId="2" borderId="30" xfId="0" applyFont="1" applyFill="1" applyBorder="1" applyAlignment="1">
      <alignment horizontal="center" vertical="center"/>
    </xf>
    <xf numFmtId="0" fontId="6" fillId="2" borderId="34" xfId="0" applyFont="1" applyFill="1" applyBorder="1" applyAlignment="1">
      <alignment horizontal="center" vertical="center"/>
    </xf>
    <xf numFmtId="0" fontId="15" fillId="0" borderId="0" xfId="0" applyFont="1" applyAlignment="1">
      <alignment horizontal="left" vertical="center"/>
    </xf>
    <xf numFmtId="0" fontId="6" fillId="0" borderId="0" xfId="0" applyFont="1" applyAlignment="1">
      <alignment horizontal="center" vertical="center"/>
    </xf>
    <xf numFmtId="0" fontId="6" fillId="0" borderId="68" xfId="0" applyFont="1" applyBorder="1" applyAlignment="1" applyProtection="1">
      <alignment horizontal="center" vertical="center"/>
      <protection locked="0"/>
    </xf>
    <xf numFmtId="0" fontId="5" fillId="0" borderId="26" xfId="0" applyFont="1" applyBorder="1" applyAlignment="1">
      <alignment horizontal="center" vertical="center"/>
    </xf>
    <xf numFmtId="0" fontId="5" fillId="0" borderId="27"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17" fontId="20" fillId="0" borderId="31" xfId="0" applyNumberFormat="1" applyFont="1" applyBorder="1" applyAlignment="1">
      <alignment horizontal="center" vertical="center" wrapText="1"/>
    </xf>
    <xf numFmtId="0" fontId="20" fillId="0" borderId="34" xfId="0" applyFont="1" applyBorder="1" applyAlignment="1">
      <alignment horizontal="center" vertical="center" wrapText="1"/>
    </xf>
    <xf numFmtId="0" fontId="5" fillId="0" borderId="26" xfId="0" applyFont="1" applyBorder="1" applyAlignment="1">
      <alignment horizontal="right" vertical="center" wrapText="1"/>
    </xf>
    <xf numFmtId="0" fontId="5" fillId="0" borderId="27" xfId="0" applyFont="1" applyBorder="1" applyAlignment="1">
      <alignment horizontal="right" vertical="center" wrapText="1"/>
    </xf>
    <xf numFmtId="0" fontId="5" fillId="0" borderId="29" xfId="0" applyFont="1" applyBorder="1" applyAlignment="1">
      <alignment horizontal="right" vertical="center" wrapText="1"/>
    </xf>
    <xf numFmtId="0" fontId="5" fillId="0" borderId="30" xfId="0" applyFont="1" applyBorder="1" applyAlignment="1">
      <alignment horizontal="right" vertical="center" wrapText="1"/>
    </xf>
    <xf numFmtId="0" fontId="5" fillId="0" borderId="31" xfId="0" applyFont="1" applyBorder="1" applyAlignment="1">
      <alignment horizontal="center" vertical="center"/>
    </xf>
    <xf numFmtId="0" fontId="5" fillId="0" borderId="34" xfId="0" applyFont="1" applyBorder="1" applyAlignment="1">
      <alignment horizontal="center" vertical="center"/>
    </xf>
    <xf numFmtId="0" fontId="8" fillId="0" borderId="54" xfId="0" applyFont="1" applyBorder="1" applyAlignment="1">
      <alignment horizontal="center" vertical="center" wrapText="1"/>
    </xf>
    <xf numFmtId="0" fontId="8" fillId="0" borderId="7" xfId="0" applyFont="1" applyBorder="1" applyAlignment="1">
      <alignment horizontal="center" vertical="center" wrapText="1"/>
    </xf>
    <xf numFmtId="0" fontId="7" fillId="0" borderId="0" xfId="0" applyFont="1" applyAlignment="1">
      <alignment horizontal="left" vertical="center"/>
    </xf>
    <xf numFmtId="0" fontId="6" fillId="0" borderId="26" xfId="0" applyFont="1" applyBorder="1" applyAlignment="1">
      <alignment horizontal="left" vertical="center" wrapText="1"/>
    </xf>
    <xf numFmtId="0" fontId="6" fillId="0" borderId="27" xfId="0" applyFont="1" applyBorder="1" applyAlignment="1">
      <alignment horizontal="left" vertical="center" wrapText="1"/>
    </xf>
    <xf numFmtId="0" fontId="6" fillId="0" borderId="32" xfId="0" applyFont="1" applyBorder="1" applyAlignment="1">
      <alignment horizontal="left" vertical="center" wrapText="1"/>
    </xf>
    <xf numFmtId="0" fontId="6" fillId="0" borderId="0" xfId="0" applyFont="1" applyAlignment="1">
      <alignment horizontal="left" vertical="center" wrapText="1"/>
    </xf>
    <xf numFmtId="0" fontId="12" fillId="0" borderId="26" xfId="0" applyFont="1" applyBorder="1" applyAlignment="1">
      <alignment horizontal="left" vertical="center"/>
    </xf>
    <xf numFmtId="0" fontId="12" fillId="0" borderId="27" xfId="0" applyFont="1" applyBorder="1" applyAlignment="1">
      <alignment horizontal="left" vertical="center"/>
    </xf>
    <xf numFmtId="0" fontId="12" fillId="0" borderId="56" xfId="0" applyFont="1" applyBorder="1" applyAlignment="1">
      <alignment horizontal="left" vertical="center"/>
    </xf>
    <xf numFmtId="0" fontId="12" fillId="0" borderId="55" xfId="0" applyFont="1" applyBorder="1" applyAlignment="1">
      <alignment horizontal="left" vertical="center"/>
    </xf>
    <xf numFmtId="0" fontId="12" fillId="0" borderId="6" xfId="0" applyFont="1" applyBorder="1" applyAlignment="1">
      <alignment horizontal="left" vertical="center"/>
    </xf>
    <xf numFmtId="0" fontId="12" fillId="0" borderId="48" xfId="0" applyFont="1" applyBorder="1" applyAlignment="1">
      <alignment horizontal="left" vertical="center"/>
    </xf>
    <xf numFmtId="0" fontId="6" fillId="0" borderId="5" xfId="0" applyFont="1" applyBorder="1" applyAlignment="1" applyProtection="1">
      <alignment horizontal="center" vertical="center"/>
      <protection locked="0"/>
    </xf>
    <xf numFmtId="0" fontId="6" fillId="2" borderId="47" xfId="0" applyFont="1" applyFill="1" applyBorder="1" applyAlignment="1">
      <alignment horizontal="center" vertical="center"/>
    </xf>
    <xf numFmtId="0" fontId="6" fillId="2" borderId="45" xfId="0" applyFont="1" applyFill="1" applyBorder="1" applyAlignment="1">
      <alignment horizontal="center" vertical="center"/>
    </xf>
    <xf numFmtId="0" fontId="7" fillId="0" borderId="0" xfId="0" applyFont="1" applyAlignment="1">
      <alignment horizontal="right" vertical="center"/>
    </xf>
    <xf numFmtId="0" fontId="12" fillId="0" borderId="0" xfId="0" applyFont="1" applyAlignment="1">
      <alignment horizontal="right"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12" fillId="0" borderId="25" xfId="0" applyFont="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0" fontId="6" fillId="2" borderId="45" xfId="0" applyFont="1" applyFill="1" applyBorder="1" applyAlignment="1">
      <alignment horizontal="center" vertical="center" wrapText="1"/>
    </xf>
    <xf numFmtId="0" fontId="7" fillId="0" borderId="36" xfId="0" applyFont="1" applyBorder="1" applyAlignment="1">
      <alignment horizontal="center" vertical="center"/>
    </xf>
    <xf numFmtId="0" fontId="12" fillId="0" borderId="0" xfId="0" applyFont="1" applyAlignment="1">
      <alignment horizontal="right" vertical="center" wrapText="1"/>
    </xf>
    <xf numFmtId="0" fontId="7" fillId="0" borderId="6" xfId="0" applyFont="1" applyBorder="1" applyAlignment="1">
      <alignment horizontal="center" vertical="center" wrapText="1"/>
    </xf>
    <xf numFmtId="0" fontId="6" fillId="2" borderId="5" xfId="0" applyFont="1" applyFill="1" applyBorder="1" applyAlignment="1">
      <alignment horizontal="center" vertical="center"/>
    </xf>
    <xf numFmtId="0" fontId="6" fillId="2" borderId="1" xfId="0" applyFont="1" applyFill="1" applyBorder="1" applyAlignment="1">
      <alignment horizontal="center" vertical="center"/>
    </xf>
    <xf numFmtId="9" fontId="9" fillId="2" borderId="2" xfId="3" applyFont="1" applyFill="1" applyBorder="1" applyAlignment="1">
      <alignment horizontal="center" vertical="center" wrapText="1"/>
    </xf>
    <xf numFmtId="9" fontId="9" fillId="2" borderId="5" xfId="3" applyFont="1" applyFill="1" applyBorder="1" applyAlignment="1">
      <alignment horizontal="center" vertical="center" wrapText="1"/>
    </xf>
    <xf numFmtId="9" fontId="9" fillId="2" borderId="49" xfId="3" applyFont="1" applyFill="1" applyBorder="1" applyAlignment="1">
      <alignment horizontal="center" vertical="center" wrapText="1"/>
    </xf>
    <xf numFmtId="9" fontId="9" fillId="2" borderId="47" xfId="3" applyFont="1" applyFill="1" applyBorder="1" applyAlignment="1">
      <alignment horizontal="center" vertical="center" wrapText="1"/>
    </xf>
    <xf numFmtId="0" fontId="12" fillId="0" borderId="25" xfId="0" applyFont="1" applyBorder="1" applyAlignment="1">
      <alignment horizontal="center" vertical="center"/>
    </xf>
    <xf numFmtId="0" fontId="12" fillId="0" borderId="1" xfId="0" applyFont="1" applyBorder="1" applyAlignment="1">
      <alignment horizontal="center" vertical="center"/>
    </xf>
    <xf numFmtId="0" fontId="7" fillId="0" borderId="0" xfId="0" applyFont="1" applyAlignment="1">
      <alignment horizontal="left" vertical="top" wrapText="1"/>
    </xf>
    <xf numFmtId="9" fontId="6" fillId="2" borderId="1" xfId="0" applyNumberFormat="1" applyFont="1" applyFill="1" applyBorder="1" applyAlignment="1">
      <alignment horizontal="center" vertical="center"/>
    </xf>
    <xf numFmtId="9" fontId="6" fillId="2" borderId="1" xfId="3" applyFont="1" applyFill="1" applyBorder="1" applyAlignment="1">
      <alignment horizontal="center" vertical="center"/>
    </xf>
    <xf numFmtId="9" fontId="6" fillId="2" borderId="45" xfId="3" applyFont="1" applyFill="1" applyBorder="1" applyAlignment="1">
      <alignment horizontal="center" vertical="center"/>
    </xf>
    <xf numFmtId="0" fontId="7" fillId="0" borderId="0" xfId="0" applyFont="1" applyAlignment="1">
      <alignment horizontal="right" vertical="center" wrapText="1"/>
    </xf>
    <xf numFmtId="0" fontId="12" fillId="0" borderId="25" xfId="0" applyFont="1" applyBorder="1" applyAlignment="1">
      <alignment horizontal="center" vertical="top" wrapText="1"/>
    </xf>
    <xf numFmtId="0" fontId="12" fillId="0" borderId="1" xfId="0" applyFont="1" applyBorder="1" applyAlignment="1">
      <alignment horizontal="center" vertical="top" wrapText="1"/>
    </xf>
    <xf numFmtId="0" fontId="7" fillId="0" borderId="0" xfId="0" applyFont="1" applyAlignment="1">
      <alignment horizontal="left" vertical="center" wrapText="1"/>
    </xf>
    <xf numFmtId="0" fontId="6" fillId="0" borderId="2" xfId="0" applyFont="1" applyBorder="1" applyAlignment="1" applyProtection="1">
      <alignment horizontal="center" vertical="center"/>
      <protection locked="0"/>
    </xf>
    <xf numFmtId="0" fontId="6" fillId="2" borderId="49" xfId="0" applyFont="1" applyFill="1" applyBorder="1" applyAlignment="1">
      <alignment horizontal="center" vertical="center"/>
    </xf>
    <xf numFmtId="0" fontId="5" fillId="0" borderId="25" xfId="0" applyFont="1" applyBorder="1" applyAlignment="1">
      <alignment horizontal="center" vertical="center"/>
    </xf>
    <xf numFmtId="0" fontId="5"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0" borderId="0" xfId="0" applyFont="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33" xfId="0" applyFont="1" applyBorder="1" applyAlignment="1">
      <alignment horizontal="left" vertical="center" wrapText="1"/>
    </xf>
    <xf numFmtId="0" fontId="6" fillId="0" borderId="36" xfId="0" applyFont="1" applyBorder="1" applyAlignment="1">
      <alignment horizontal="center" vertical="center"/>
    </xf>
    <xf numFmtId="0" fontId="17" fillId="0" borderId="0" xfId="0" applyFont="1" applyAlignment="1">
      <alignment horizontal="center"/>
    </xf>
    <xf numFmtId="0" fontId="6" fillId="0" borderId="0" xfId="0" applyFont="1" applyAlignment="1">
      <alignment horizontal="center" vertical="center" wrapText="1"/>
    </xf>
    <xf numFmtId="0" fontId="5" fillId="0" borderId="42" xfId="0" applyFont="1" applyBorder="1" applyAlignment="1">
      <alignment horizontal="center" vertical="center"/>
    </xf>
    <xf numFmtId="0" fontId="5" fillId="0" borderId="41" xfId="0" applyFont="1" applyBorder="1" applyAlignment="1">
      <alignment horizontal="center" vertical="center"/>
    </xf>
    <xf numFmtId="0" fontId="6" fillId="2" borderId="41" xfId="0" applyFont="1" applyFill="1" applyBorder="1" applyAlignment="1">
      <alignment horizontal="center" vertical="center"/>
    </xf>
    <xf numFmtId="0" fontId="6" fillId="2" borderId="46" xfId="0" applyFont="1" applyFill="1" applyBorder="1" applyAlignment="1">
      <alignment horizontal="center" vertical="center"/>
    </xf>
  </cellXfs>
  <cellStyles count="4">
    <cellStyle name="Normal" xfId="0" builtinId="0"/>
    <cellStyle name="Normal 2" xfId="1" xr:uid="{00000000-0005-0000-0000-000002000000}"/>
    <cellStyle name="Normal 3" xfId="2" xr:uid="{00000000-0005-0000-0000-00000300000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266700</xdr:colOff>
      <xdr:row>0</xdr:row>
      <xdr:rowOff>140493</xdr:rowOff>
    </xdr:from>
    <xdr:ext cx="1231280" cy="1227243"/>
    <xdr:pic>
      <xdr:nvPicPr>
        <xdr:cNvPr id="2" name="Picture 1">
          <a:extLst>
            <a:ext uri="{FF2B5EF4-FFF2-40B4-BE49-F238E27FC236}">
              <a16:creationId xmlns:a16="http://schemas.microsoft.com/office/drawing/2014/main" id="{E1289A07-1F55-49EF-ACFE-51F0D1D44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41" b="141"/>
        <a:stretch/>
      </xdr:blipFill>
      <xdr:spPr>
        <a:xfrm>
          <a:off x="266700" y="140493"/>
          <a:ext cx="1231280" cy="1227243"/>
        </a:xfrm>
        <a:prstGeom prst="rect">
          <a:avLst/>
        </a:prstGeom>
      </xdr:spPr>
    </xdr:pic>
    <xdr:clientData/>
  </xdr:oneCellAnchor>
  <xdr:oneCellAnchor>
    <xdr:from>
      <xdr:col>32</xdr:col>
      <xdr:colOff>238079</xdr:colOff>
      <xdr:row>0</xdr:row>
      <xdr:rowOff>104792</xdr:rowOff>
    </xdr:from>
    <xdr:ext cx="2295571" cy="1123933"/>
    <xdr:pic>
      <xdr:nvPicPr>
        <xdr:cNvPr id="3" name="Picture 2">
          <a:extLst>
            <a:ext uri="{FF2B5EF4-FFF2-40B4-BE49-F238E27FC236}">
              <a16:creationId xmlns:a16="http://schemas.microsoft.com/office/drawing/2014/main" id="{A8BAE021-A142-439C-A278-FBD90E335DB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2635819" y="104792"/>
          <a:ext cx="2295571" cy="1123933"/>
        </a:xfrm>
        <a:prstGeom prst="rect">
          <a:avLst/>
        </a:prstGeom>
        <a:noFill/>
        <a:ln w="9525">
          <a:noFill/>
          <a:miter lim="800000"/>
          <a:headEnd/>
          <a:tailEnd/>
        </a:ln>
      </xdr:spPr>
    </xdr:pic>
    <xdr:clientData/>
  </xdr:oneCellAnchor>
  <xdr:twoCellAnchor editAs="oneCell">
    <xdr:from>
      <xdr:col>1</xdr:col>
      <xdr:colOff>202441</xdr:colOff>
      <xdr:row>113</xdr:row>
      <xdr:rowOff>47612</xdr:rowOff>
    </xdr:from>
    <xdr:to>
      <xdr:col>1</xdr:col>
      <xdr:colOff>321472</xdr:colOff>
      <xdr:row>113</xdr:row>
      <xdr:rowOff>226217</xdr:rowOff>
    </xdr:to>
    <xdr:sp macro="" textlink="">
      <xdr:nvSpPr>
        <xdr:cNvPr id="4" name="Left Arrow 26">
          <a:extLst>
            <a:ext uri="{FF2B5EF4-FFF2-40B4-BE49-F238E27FC236}">
              <a16:creationId xmlns:a16="http://schemas.microsoft.com/office/drawing/2014/main" id="{E4C07D76-CFF6-4A0E-8467-E37E21610F58}"/>
            </a:ext>
          </a:extLst>
        </xdr:cNvPr>
        <xdr:cNvSpPr/>
      </xdr:nvSpPr>
      <xdr:spPr>
        <a:xfrm>
          <a:off x="484381" y="19592912"/>
          <a:ext cx="119031" cy="1786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62</xdr:row>
      <xdr:rowOff>35718</xdr:rowOff>
    </xdr:from>
    <xdr:to>
      <xdr:col>1</xdr:col>
      <xdr:colOff>369094</xdr:colOff>
      <xdr:row>62</xdr:row>
      <xdr:rowOff>214313</xdr:rowOff>
    </xdr:to>
    <xdr:sp macro="" textlink="">
      <xdr:nvSpPr>
        <xdr:cNvPr id="5" name="Left Arrow 27">
          <a:extLst>
            <a:ext uri="{FF2B5EF4-FFF2-40B4-BE49-F238E27FC236}">
              <a16:creationId xmlns:a16="http://schemas.microsoft.com/office/drawing/2014/main" id="{61F02F5F-84F0-4C3B-A2B1-2E999975618F}"/>
            </a:ext>
          </a:extLst>
        </xdr:cNvPr>
        <xdr:cNvSpPr/>
      </xdr:nvSpPr>
      <xdr:spPr>
        <a:xfrm>
          <a:off x="484336" y="11077098"/>
          <a:ext cx="166698" cy="1785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188157</xdr:colOff>
      <xdr:row>114</xdr:row>
      <xdr:rowOff>69042</xdr:rowOff>
    </xdr:from>
    <xdr:to>
      <xdr:col>1</xdr:col>
      <xdr:colOff>321472</xdr:colOff>
      <xdr:row>114</xdr:row>
      <xdr:rowOff>226220</xdr:rowOff>
    </xdr:to>
    <xdr:sp macro="" textlink="">
      <xdr:nvSpPr>
        <xdr:cNvPr id="6" name="Left Arrow 28">
          <a:extLst>
            <a:ext uri="{FF2B5EF4-FFF2-40B4-BE49-F238E27FC236}">
              <a16:creationId xmlns:a16="http://schemas.microsoft.com/office/drawing/2014/main" id="{0C04F87A-E55B-4F8C-9C6E-DC88E50F684D}"/>
            </a:ext>
          </a:extLst>
        </xdr:cNvPr>
        <xdr:cNvSpPr/>
      </xdr:nvSpPr>
      <xdr:spPr>
        <a:xfrm>
          <a:off x="470097" y="19888662"/>
          <a:ext cx="133315" cy="1571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99ED-462A-4C51-A0EE-6C4723EA78D2}">
  <sheetPr>
    <tabColor rgb="FF00B0F0"/>
  </sheetPr>
  <dimension ref="A1:AT146"/>
  <sheetViews>
    <sheetView showGridLines="0" tabSelected="1" zoomScale="80" zoomScaleNormal="80" workbookViewId="0">
      <selection activeCell="Q16" sqref="Q16"/>
    </sheetView>
  </sheetViews>
  <sheetFormatPr defaultColWidth="10.36328125" defaultRowHeight="14" x14ac:dyDescent="0.35"/>
  <cols>
    <col min="1" max="1" width="4.08984375" style="16" customWidth="1"/>
    <col min="2" max="2" width="51.54296875" style="16" customWidth="1"/>
    <col min="3" max="6" width="5.81640625" style="16" hidden="1" customWidth="1"/>
    <col min="7" max="31" width="4.6328125" style="16" customWidth="1"/>
    <col min="32" max="32" width="8.453125" style="16" customWidth="1"/>
    <col min="33" max="33" width="9.6328125" style="16" bestFit="1" customWidth="1"/>
    <col min="34" max="34" width="9" style="16" customWidth="1"/>
    <col min="35" max="35" width="7" style="16" customWidth="1"/>
    <col min="36" max="36" width="6.54296875" style="16" customWidth="1"/>
    <col min="37" max="37" width="6.90625" style="16" customWidth="1"/>
    <col min="38" max="38" width="7" style="16" customWidth="1"/>
    <col min="39" max="39" width="6.54296875" style="16" customWidth="1"/>
    <col min="40" max="40" width="4.90625" style="16" customWidth="1"/>
    <col min="41" max="41" width="8.6328125" style="16" customWidth="1"/>
    <col min="42" max="42" width="4.453125" style="16" customWidth="1"/>
    <col min="43" max="16384" width="10.36328125" style="16"/>
  </cols>
  <sheetData>
    <row r="1" spans="1:46" ht="13.5" customHeight="1" x14ac:dyDescent="0.4">
      <c r="A1" s="12"/>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4"/>
      <c r="AI1" s="15"/>
      <c r="AJ1" s="15"/>
      <c r="AK1" s="15"/>
      <c r="AL1" s="15"/>
      <c r="AM1" s="15"/>
    </row>
    <row r="2" spans="1:46" ht="19.5" customHeight="1" x14ac:dyDescent="0.35">
      <c r="A2" s="130" t="s">
        <v>64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row>
    <row r="3" spans="1:46" ht="19.5" customHeight="1" x14ac:dyDescent="0.35">
      <c r="A3" s="131" t="s">
        <v>86</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row>
    <row r="4" spans="1:46" ht="6.75" customHeight="1"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row>
    <row r="5" spans="1:46" ht="6.75" customHeight="1"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row>
    <row r="6" spans="1:46" ht="40.5" customHeight="1" x14ac:dyDescent="0.35">
      <c r="A6" s="17"/>
      <c r="B6" s="50" t="s">
        <v>56</v>
      </c>
      <c r="C6" s="50"/>
      <c r="D6" s="50"/>
      <c r="E6" s="50"/>
      <c r="F6" s="50"/>
      <c r="G6" s="145"/>
      <c r="H6" s="145"/>
      <c r="I6" s="145"/>
      <c r="J6" s="145"/>
      <c r="K6" s="52"/>
      <c r="L6" s="52"/>
      <c r="M6" s="50" t="s">
        <v>55</v>
      </c>
      <c r="N6" s="132" t="s">
        <v>101</v>
      </c>
      <c r="O6" s="133"/>
      <c r="P6" s="133"/>
      <c r="Q6" s="133"/>
      <c r="R6" s="134"/>
      <c r="S6" s="52"/>
      <c r="T6" s="135" t="s">
        <v>70</v>
      </c>
      <c r="U6" s="135"/>
      <c r="V6" s="135"/>
      <c r="W6" s="135"/>
      <c r="X6" s="135"/>
      <c r="Y6" s="135"/>
      <c r="Z6" s="136"/>
      <c r="AA6" s="137" t="s">
        <v>100</v>
      </c>
      <c r="AB6" s="133"/>
      <c r="AC6" s="133"/>
      <c r="AD6" s="133"/>
      <c r="AE6" s="133"/>
      <c r="AF6" s="134"/>
      <c r="AG6" s="52"/>
      <c r="AH6" s="52"/>
      <c r="AI6" s="52"/>
      <c r="AJ6" s="52"/>
      <c r="AK6" s="52"/>
      <c r="AL6" s="17"/>
      <c r="AM6" s="17"/>
      <c r="AO6" s="144" t="s">
        <v>99</v>
      </c>
      <c r="AP6" s="144"/>
      <c r="AQ6" s="144"/>
      <c r="AR6" s="144"/>
      <c r="AS6" s="144"/>
      <c r="AT6" s="144"/>
    </row>
    <row r="7" spans="1:46" ht="41.25" customHeight="1" x14ac:dyDescent="0.35">
      <c r="A7" s="18"/>
      <c r="B7" s="50" t="s">
        <v>59</v>
      </c>
      <c r="C7" s="50"/>
      <c r="D7" s="50"/>
      <c r="E7" s="50"/>
      <c r="F7" s="50"/>
      <c r="G7" s="145"/>
      <c r="H7" s="145"/>
      <c r="I7" s="145"/>
      <c r="J7" s="145"/>
      <c r="K7" s="145"/>
      <c r="L7" s="145"/>
      <c r="M7" s="145"/>
      <c r="N7" s="145"/>
      <c r="O7" s="145"/>
      <c r="P7" s="145"/>
      <c r="Q7" s="145"/>
      <c r="R7" s="145"/>
      <c r="S7" s="51"/>
      <c r="T7" s="51"/>
      <c r="U7" s="51"/>
      <c r="V7" s="51"/>
      <c r="W7" s="135" t="s">
        <v>57</v>
      </c>
      <c r="X7" s="135"/>
      <c r="Y7" s="135"/>
      <c r="Z7" s="136"/>
      <c r="AA7" s="132"/>
      <c r="AB7" s="134"/>
      <c r="AC7" s="146" t="s">
        <v>58</v>
      </c>
      <c r="AD7" s="135"/>
      <c r="AE7" s="136"/>
      <c r="AF7" s="132"/>
      <c r="AG7" s="133"/>
      <c r="AH7" s="133"/>
      <c r="AI7" s="133"/>
      <c r="AJ7" s="133"/>
      <c r="AK7" s="134"/>
      <c r="AL7" s="18"/>
      <c r="AM7" s="18"/>
    </row>
    <row r="8" spans="1:46" ht="6" customHeight="1" thickBot="1" x14ac:dyDescent="0.4"/>
    <row r="9" spans="1:46" ht="20.25" customHeight="1" thickBot="1" x14ac:dyDescent="0.4">
      <c r="A9" s="153" t="s">
        <v>76</v>
      </c>
      <c r="B9" s="154"/>
      <c r="C9" s="112"/>
      <c r="D9" s="112"/>
      <c r="E9" s="112"/>
      <c r="F9" s="112"/>
      <c r="G9" s="157" t="s">
        <v>68</v>
      </c>
      <c r="H9" s="158"/>
      <c r="I9" s="158"/>
      <c r="J9" s="158"/>
      <c r="K9" s="158"/>
      <c r="L9" s="158"/>
      <c r="M9" s="158"/>
      <c r="N9" s="158"/>
      <c r="O9" s="158"/>
      <c r="P9" s="158"/>
      <c r="Q9" s="158"/>
      <c r="R9" s="158"/>
      <c r="S9" s="158"/>
      <c r="T9" s="158"/>
      <c r="U9" s="158"/>
      <c r="V9" s="158"/>
      <c r="W9" s="158"/>
      <c r="X9" s="158"/>
      <c r="Y9" s="158"/>
      <c r="Z9" s="158"/>
      <c r="AA9" s="158"/>
      <c r="AB9" s="158"/>
      <c r="AC9" s="158"/>
      <c r="AD9" s="158"/>
      <c r="AE9" s="159"/>
      <c r="AF9" s="160" t="s">
        <v>50</v>
      </c>
      <c r="AG9" s="160"/>
      <c r="AH9" s="162" t="s">
        <v>85</v>
      </c>
      <c r="AI9" s="163"/>
      <c r="AJ9" s="163"/>
      <c r="AK9" s="163"/>
      <c r="AL9" s="163"/>
      <c r="AM9" s="164"/>
      <c r="AO9" s="138" t="s">
        <v>82</v>
      </c>
      <c r="AP9" s="138"/>
      <c r="AQ9" s="139">
        <v>22</v>
      </c>
    </row>
    <row r="10" spans="1:46" ht="19.5" customHeight="1" thickBot="1" x14ac:dyDescent="0.4">
      <c r="A10" s="155"/>
      <c r="B10" s="156"/>
      <c r="C10" s="113"/>
      <c r="D10" s="113"/>
      <c r="E10" s="113"/>
      <c r="F10" s="113"/>
      <c r="G10" s="102">
        <v>1</v>
      </c>
      <c r="H10" s="103">
        <v>2</v>
      </c>
      <c r="I10" s="103">
        <v>3</v>
      </c>
      <c r="J10" s="103">
        <v>4</v>
      </c>
      <c r="K10" s="104">
        <v>5</v>
      </c>
      <c r="L10" s="105">
        <v>8</v>
      </c>
      <c r="M10" s="103">
        <v>9</v>
      </c>
      <c r="N10" s="103">
        <v>10</v>
      </c>
      <c r="O10" s="103">
        <v>11</v>
      </c>
      <c r="P10" s="106">
        <v>12</v>
      </c>
      <c r="Q10" s="102">
        <v>15</v>
      </c>
      <c r="R10" s="103">
        <v>16</v>
      </c>
      <c r="S10" s="103">
        <v>17</v>
      </c>
      <c r="T10" s="103">
        <v>18</v>
      </c>
      <c r="U10" s="104">
        <v>19</v>
      </c>
      <c r="V10" s="105">
        <v>22</v>
      </c>
      <c r="W10" s="103">
        <v>23</v>
      </c>
      <c r="X10" s="103">
        <v>24</v>
      </c>
      <c r="Y10" s="103">
        <v>25</v>
      </c>
      <c r="Z10" s="106">
        <v>26</v>
      </c>
      <c r="AA10" s="102">
        <v>29</v>
      </c>
      <c r="AB10" s="103">
        <v>30</v>
      </c>
      <c r="AC10" s="103"/>
      <c r="AD10" s="103"/>
      <c r="AE10" s="104"/>
      <c r="AF10" s="161"/>
      <c r="AG10" s="161"/>
      <c r="AH10" s="165"/>
      <c r="AI10" s="166"/>
      <c r="AJ10" s="166"/>
      <c r="AK10" s="166"/>
      <c r="AL10" s="166"/>
      <c r="AM10" s="167"/>
      <c r="AO10" s="138"/>
      <c r="AP10" s="138"/>
      <c r="AQ10" s="139"/>
    </row>
    <row r="11" spans="1:46" ht="24.75" customHeight="1" x14ac:dyDescent="0.35">
      <c r="A11" s="155"/>
      <c r="B11" s="156"/>
      <c r="C11" s="113"/>
      <c r="D11" s="113"/>
      <c r="E11" s="113"/>
      <c r="F11" s="113"/>
      <c r="G11" s="1" t="s">
        <v>1</v>
      </c>
      <c r="H11" s="2" t="s">
        <v>48</v>
      </c>
      <c r="I11" s="2" t="s">
        <v>78</v>
      </c>
      <c r="J11" s="2" t="s">
        <v>79</v>
      </c>
      <c r="K11" s="3" t="s">
        <v>2</v>
      </c>
      <c r="L11" s="4" t="s">
        <v>1</v>
      </c>
      <c r="M11" s="2" t="s">
        <v>48</v>
      </c>
      <c r="N11" s="2" t="s">
        <v>78</v>
      </c>
      <c r="O11" s="2" t="s">
        <v>79</v>
      </c>
      <c r="P11" s="5" t="s">
        <v>2</v>
      </c>
      <c r="Q11" s="1" t="s">
        <v>1</v>
      </c>
      <c r="R11" s="2" t="s">
        <v>48</v>
      </c>
      <c r="S11" s="2" t="s">
        <v>78</v>
      </c>
      <c r="T11" s="2" t="s">
        <v>79</v>
      </c>
      <c r="U11" s="3" t="s">
        <v>2</v>
      </c>
      <c r="V11" s="4" t="s">
        <v>1</v>
      </c>
      <c r="W11" s="2" t="s">
        <v>48</v>
      </c>
      <c r="X11" s="2" t="s">
        <v>78</v>
      </c>
      <c r="Y11" s="2" t="s">
        <v>79</v>
      </c>
      <c r="Z11" s="5" t="s">
        <v>2</v>
      </c>
      <c r="AA11" s="1" t="s">
        <v>1</v>
      </c>
      <c r="AB11" s="2" t="s">
        <v>48</v>
      </c>
      <c r="AC11" s="2" t="s">
        <v>78</v>
      </c>
      <c r="AD11" s="5" t="s">
        <v>79</v>
      </c>
      <c r="AE11" s="3" t="s">
        <v>2</v>
      </c>
      <c r="AF11" s="140" t="s">
        <v>4</v>
      </c>
      <c r="AG11" s="142" t="s">
        <v>77</v>
      </c>
      <c r="AH11" s="165"/>
      <c r="AI11" s="166"/>
      <c r="AJ11" s="166"/>
      <c r="AK11" s="166"/>
      <c r="AL11" s="166"/>
      <c r="AM11" s="167"/>
    </row>
    <row r="12" spans="1:46" ht="6" customHeight="1" thickBot="1" x14ac:dyDescent="0.4">
      <c r="A12" s="110"/>
      <c r="B12" s="109"/>
      <c r="C12" s="109"/>
      <c r="D12" s="109"/>
      <c r="E12" s="109"/>
      <c r="F12" s="109"/>
      <c r="G12" s="6"/>
      <c r="H12" s="7"/>
      <c r="I12" s="7"/>
      <c r="J12" s="7"/>
      <c r="K12" s="8"/>
      <c r="L12" s="9"/>
      <c r="M12" s="7"/>
      <c r="N12" s="7"/>
      <c r="O12" s="7"/>
      <c r="P12" s="10"/>
      <c r="Q12" s="6"/>
      <c r="R12" s="7"/>
      <c r="S12" s="7"/>
      <c r="T12" s="7"/>
      <c r="U12" s="8"/>
      <c r="V12" s="9"/>
      <c r="W12" s="7"/>
      <c r="X12" s="7"/>
      <c r="Y12" s="7"/>
      <c r="Z12" s="10"/>
      <c r="AA12" s="6"/>
      <c r="AB12" s="7"/>
      <c r="AC12" s="7"/>
      <c r="AD12" s="10"/>
      <c r="AE12" s="8"/>
      <c r="AF12" s="141"/>
      <c r="AG12" s="143"/>
      <c r="AH12" s="168"/>
      <c r="AI12" s="169"/>
      <c r="AJ12" s="169"/>
      <c r="AK12" s="169"/>
      <c r="AL12" s="169"/>
      <c r="AM12" s="170"/>
    </row>
    <row r="13" spans="1:46" ht="21.9" customHeight="1" x14ac:dyDescent="0.35">
      <c r="A13" s="99">
        <v>1</v>
      </c>
      <c r="B13" s="125"/>
      <c r="C13" s="119"/>
      <c r="D13" s="119"/>
      <c r="E13" s="119"/>
      <c r="F13" s="119"/>
      <c r="G13" s="77"/>
      <c r="H13" s="78"/>
      <c r="I13" s="79"/>
      <c r="J13" s="79"/>
      <c r="K13" s="80"/>
      <c r="L13" s="81"/>
      <c r="M13" s="79"/>
      <c r="N13" s="79"/>
      <c r="O13" s="79"/>
      <c r="P13" s="82"/>
      <c r="Q13" s="83"/>
      <c r="R13" s="79"/>
      <c r="S13" s="79"/>
      <c r="T13" s="79"/>
      <c r="U13" s="80"/>
      <c r="V13" s="81"/>
      <c r="W13" s="79"/>
      <c r="X13" s="79"/>
      <c r="Y13" s="79"/>
      <c r="Z13" s="82"/>
      <c r="AA13" s="83"/>
      <c r="AB13" s="79"/>
      <c r="AC13" s="79"/>
      <c r="AD13" s="82"/>
      <c r="AE13" s="80"/>
      <c r="AF13" s="55" t="str">
        <f t="shared" ref="AF13:AF62" si="0">IF(B13="","",COUNTIF(G13:AE13,"x") + COUNTIF(G13:AE13,"h")*0.5)</f>
        <v/>
      </c>
      <c r="AG13" s="56" t="str">
        <f>IF(B13="","",$AJ$117-AF13)</f>
        <v/>
      </c>
      <c r="AH13" s="150"/>
      <c r="AI13" s="151"/>
      <c r="AJ13" s="151"/>
      <c r="AK13" s="151"/>
      <c r="AL13" s="151"/>
      <c r="AM13" s="152"/>
      <c r="AO13" s="13" t="s">
        <v>92</v>
      </c>
    </row>
    <row r="14" spans="1:46" ht="21.9" customHeight="1" x14ac:dyDescent="0.35">
      <c r="A14" s="89">
        <v>2</v>
      </c>
      <c r="B14" s="126"/>
      <c r="C14" s="120"/>
      <c r="D14" s="120"/>
      <c r="E14" s="120"/>
      <c r="F14" s="120"/>
      <c r="G14" s="84"/>
      <c r="H14" s="85"/>
      <c r="I14" s="86"/>
      <c r="J14" s="86"/>
      <c r="K14" s="87"/>
      <c r="L14" s="88"/>
      <c r="M14" s="86"/>
      <c r="N14" s="86"/>
      <c r="O14" s="86"/>
      <c r="P14" s="75"/>
      <c r="Q14" s="89"/>
      <c r="R14" s="86"/>
      <c r="S14" s="86"/>
      <c r="T14" s="86"/>
      <c r="U14" s="87"/>
      <c r="V14" s="88"/>
      <c r="W14" s="86"/>
      <c r="X14" s="86"/>
      <c r="Y14" s="86"/>
      <c r="Z14" s="75"/>
      <c r="AA14" s="89"/>
      <c r="AB14" s="86"/>
      <c r="AC14" s="86"/>
      <c r="AD14" s="75"/>
      <c r="AE14" s="87"/>
      <c r="AF14" s="57" t="str">
        <f t="shared" si="0"/>
        <v/>
      </c>
      <c r="AG14" s="58" t="str">
        <f>IF(B14="","",$AJ$117-AF14)</f>
        <v/>
      </c>
      <c r="AH14" s="147"/>
      <c r="AI14" s="148"/>
      <c r="AJ14" s="148"/>
      <c r="AK14" s="148"/>
      <c r="AL14" s="148"/>
      <c r="AM14" s="149"/>
      <c r="AO14" s="107" t="s">
        <v>93</v>
      </c>
      <c r="AP14" s="16" t="s">
        <v>94</v>
      </c>
    </row>
    <row r="15" spans="1:46" ht="21.9" customHeight="1" x14ac:dyDescent="0.35">
      <c r="A15" s="99">
        <v>3</v>
      </c>
      <c r="B15" s="126"/>
      <c r="C15" s="120"/>
      <c r="D15" s="120"/>
      <c r="E15" s="120"/>
      <c r="F15" s="120"/>
      <c r="G15" s="84"/>
      <c r="H15" s="85"/>
      <c r="I15" s="86"/>
      <c r="J15" s="86"/>
      <c r="K15" s="87"/>
      <c r="L15" s="88"/>
      <c r="M15" s="86"/>
      <c r="N15" s="86"/>
      <c r="O15" s="86"/>
      <c r="P15" s="75"/>
      <c r="Q15" s="89"/>
      <c r="R15" s="86"/>
      <c r="S15" s="86"/>
      <c r="T15" s="86"/>
      <c r="U15" s="87"/>
      <c r="V15" s="88"/>
      <c r="W15" s="86"/>
      <c r="X15" s="86"/>
      <c r="Y15" s="86"/>
      <c r="Z15" s="75"/>
      <c r="AA15" s="89"/>
      <c r="AB15" s="86"/>
      <c r="AC15" s="86"/>
      <c r="AD15" s="75"/>
      <c r="AE15" s="87"/>
      <c r="AF15" s="57" t="str">
        <f t="shared" si="0"/>
        <v/>
      </c>
      <c r="AG15" s="58" t="str">
        <f>IF(B15="","",$AJ$117-AF15)</f>
        <v/>
      </c>
      <c r="AH15" s="147"/>
      <c r="AI15" s="148"/>
      <c r="AJ15" s="148"/>
      <c r="AK15" s="148"/>
      <c r="AL15" s="148"/>
      <c r="AM15" s="149"/>
      <c r="AO15" s="107" t="s">
        <v>83</v>
      </c>
      <c r="AP15" s="16" t="s">
        <v>95</v>
      </c>
    </row>
    <row r="16" spans="1:46" ht="21.9" customHeight="1" x14ac:dyDescent="0.35">
      <c r="A16" s="89">
        <v>4</v>
      </c>
      <c r="B16" s="126"/>
      <c r="C16" s="120"/>
      <c r="D16" s="120"/>
      <c r="E16" s="120"/>
      <c r="F16" s="120"/>
      <c r="G16" s="84"/>
      <c r="H16" s="85"/>
      <c r="I16" s="86"/>
      <c r="J16" s="86"/>
      <c r="K16" s="87"/>
      <c r="L16" s="88"/>
      <c r="M16" s="86"/>
      <c r="N16" s="86"/>
      <c r="O16" s="86"/>
      <c r="P16" s="75"/>
      <c r="Q16" s="89"/>
      <c r="R16" s="86"/>
      <c r="S16" s="86"/>
      <c r="T16" s="86"/>
      <c r="U16" s="87"/>
      <c r="V16" s="88"/>
      <c r="W16" s="86"/>
      <c r="X16" s="86"/>
      <c r="Y16" s="86"/>
      <c r="Z16" s="75"/>
      <c r="AA16" s="89"/>
      <c r="AB16" s="86"/>
      <c r="AC16" s="86"/>
      <c r="AD16" s="75"/>
      <c r="AE16" s="87"/>
      <c r="AF16" s="57" t="str">
        <f t="shared" si="0"/>
        <v/>
      </c>
      <c r="AG16" s="58" t="str">
        <f>IF(B16="","",$AJ$117-AF16)</f>
        <v/>
      </c>
      <c r="AH16" s="147"/>
      <c r="AI16" s="148"/>
      <c r="AJ16" s="148"/>
      <c r="AK16" s="148"/>
      <c r="AL16" s="148"/>
      <c r="AM16" s="149"/>
      <c r="AO16" s="107" t="s">
        <v>84</v>
      </c>
      <c r="AP16" s="16" t="s">
        <v>96</v>
      </c>
    </row>
    <row r="17" spans="1:42" ht="21.9" customHeight="1" x14ac:dyDescent="0.35">
      <c r="A17" s="99">
        <v>5</v>
      </c>
      <c r="B17" s="126"/>
      <c r="C17" s="120"/>
      <c r="D17" s="120"/>
      <c r="E17" s="120"/>
      <c r="F17" s="120"/>
      <c r="G17" s="84"/>
      <c r="H17" s="85"/>
      <c r="I17" s="86"/>
      <c r="J17" s="86"/>
      <c r="K17" s="87"/>
      <c r="L17" s="88"/>
      <c r="M17" s="86"/>
      <c r="N17" s="86"/>
      <c r="O17" s="86"/>
      <c r="P17" s="75"/>
      <c r="Q17" s="89"/>
      <c r="R17" s="86"/>
      <c r="S17" s="86"/>
      <c r="T17" s="86"/>
      <c r="U17" s="87"/>
      <c r="V17" s="88"/>
      <c r="W17" s="86"/>
      <c r="X17" s="86"/>
      <c r="Y17" s="86"/>
      <c r="Z17" s="75"/>
      <c r="AA17" s="89"/>
      <c r="AB17" s="86"/>
      <c r="AC17" s="86"/>
      <c r="AD17" s="75"/>
      <c r="AE17" s="87"/>
      <c r="AF17" s="57" t="str">
        <f t="shared" si="0"/>
        <v/>
      </c>
      <c r="AG17" s="58" t="str">
        <f>IF(B17="","",$AJ$117-AF17)</f>
        <v/>
      </c>
      <c r="AH17" s="147"/>
      <c r="AI17" s="148"/>
      <c r="AJ17" s="148"/>
      <c r="AK17" s="148"/>
      <c r="AL17" s="148"/>
      <c r="AM17" s="149"/>
    </row>
    <row r="18" spans="1:42" ht="21.9" customHeight="1" x14ac:dyDescent="0.35">
      <c r="A18" s="89">
        <v>6</v>
      </c>
      <c r="B18" s="126"/>
      <c r="C18" s="120"/>
      <c r="D18" s="120"/>
      <c r="E18" s="120"/>
      <c r="F18" s="120"/>
      <c r="G18" s="84"/>
      <c r="H18" s="85"/>
      <c r="I18" s="86"/>
      <c r="J18" s="86"/>
      <c r="K18" s="87"/>
      <c r="L18" s="88"/>
      <c r="M18" s="86"/>
      <c r="N18" s="86"/>
      <c r="O18" s="86"/>
      <c r="P18" s="75"/>
      <c r="Q18" s="89"/>
      <c r="R18" s="86"/>
      <c r="S18" s="86"/>
      <c r="T18" s="86"/>
      <c r="U18" s="87"/>
      <c r="V18" s="88"/>
      <c r="W18" s="86"/>
      <c r="X18" s="86"/>
      <c r="Y18" s="86"/>
      <c r="Z18" s="75"/>
      <c r="AA18" s="89"/>
      <c r="AB18" s="86"/>
      <c r="AC18" s="86"/>
      <c r="AD18" s="75"/>
      <c r="AE18" s="87"/>
      <c r="AF18" s="57" t="str">
        <f t="shared" si="0"/>
        <v/>
      </c>
      <c r="AG18" s="58" t="str">
        <f>IF(B18="","",$AJ$117-AF18)</f>
        <v/>
      </c>
      <c r="AH18" s="147"/>
      <c r="AI18" s="148"/>
      <c r="AJ18" s="148"/>
      <c r="AK18" s="148"/>
      <c r="AL18" s="148"/>
      <c r="AM18" s="149"/>
      <c r="AO18" s="13" t="s">
        <v>97</v>
      </c>
      <c r="AP18" s="16" t="s">
        <v>98</v>
      </c>
    </row>
    <row r="19" spans="1:42" ht="21.9" customHeight="1" x14ac:dyDescent="0.35">
      <c r="A19" s="99">
        <v>7</v>
      </c>
      <c r="B19" s="126"/>
      <c r="C19" s="120"/>
      <c r="D19" s="120"/>
      <c r="E19" s="120"/>
      <c r="F19" s="120"/>
      <c r="G19" s="84"/>
      <c r="H19" s="85"/>
      <c r="I19" s="86"/>
      <c r="J19" s="86"/>
      <c r="K19" s="87"/>
      <c r="L19" s="88"/>
      <c r="M19" s="86"/>
      <c r="N19" s="86"/>
      <c r="O19" s="86"/>
      <c r="P19" s="75"/>
      <c r="Q19" s="89"/>
      <c r="R19" s="86"/>
      <c r="S19" s="86"/>
      <c r="T19" s="86"/>
      <c r="U19" s="87"/>
      <c r="V19" s="88"/>
      <c r="W19" s="86"/>
      <c r="X19" s="86"/>
      <c r="Y19" s="86"/>
      <c r="Z19" s="75"/>
      <c r="AA19" s="89"/>
      <c r="AB19" s="86"/>
      <c r="AC19" s="86"/>
      <c r="AD19" s="75"/>
      <c r="AE19" s="87"/>
      <c r="AF19" s="57" t="str">
        <f t="shared" si="0"/>
        <v/>
      </c>
      <c r="AG19" s="58" t="str">
        <f>IF(B19="","",$AJ$117-AF19)</f>
        <v/>
      </c>
      <c r="AH19" s="147"/>
      <c r="AI19" s="148"/>
      <c r="AJ19" s="148"/>
      <c r="AK19" s="148"/>
      <c r="AL19" s="148"/>
      <c r="AM19" s="149"/>
    </row>
    <row r="20" spans="1:42" ht="21.9" customHeight="1" x14ac:dyDescent="0.35">
      <c r="A20" s="89">
        <v>8</v>
      </c>
      <c r="B20" s="126"/>
      <c r="C20" s="120"/>
      <c r="D20" s="120"/>
      <c r="E20" s="120"/>
      <c r="F20" s="120"/>
      <c r="G20" s="84"/>
      <c r="H20" s="85"/>
      <c r="I20" s="86"/>
      <c r="J20" s="86"/>
      <c r="K20" s="87"/>
      <c r="L20" s="88"/>
      <c r="M20" s="86"/>
      <c r="N20" s="86"/>
      <c r="O20" s="86"/>
      <c r="P20" s="75"/>
      <c r="Q20" s="89"/>
      <c r="R20" s="86"/>
      <c r="S20" s="86"/>
      <c r="T20" s="86"/>
      <c r="U20" s="87"/>
      <c r="V20" s="88"/>
      <c r="W20" s="86"/>
      <c r="X20" s="86"/>
      <c r="Y20" s="86"/>
      <c r="Z20" s="75"/>
      <c r="AA20" s="89"/>
      <c r="AB20" s="86"/>
      <c r="AC20" s="86"/>
      <c r="AD20" s="75"/>
      <c r="AE20" s="87"/>
      <c r="AF20" s="57" t="str">
        <f t="shared" si="0"/>
        <v/>
      </c>
      <c r="AG20" s="58" t="str">
        <f>IF(B20="","",$AJ$117-AF20)</f>
        <v/>
      </c>
      <c r="AH20" s="147"/>
      <c r="AI20" s="148"/>
      <c r="AJ20" s="148"/>
      <c r="AK20" s="148"/>
      <c r="AL20" s="148"/>
      <c r="AM20" s="149"/>
    </row>
    <row r="21" spans="1:42" ht="21.9" customHeight="1" x14ac:dyDescent="0.35">
      <c r="A21" s="99">
        <v>9</v>
      </c>
      <c r="B21" s="126"/>
      <c r="C21" s="120"/>
      <c r="D21" s="120"/>
      <c r="E21" s="120"/>
      <c r="F21" s="120"/>
      <c r="G21" s="84"/>
      <c r="H21" s="85"/>
      <c r="I21" s="86"/>
      <c r="J21" s="86"/>
      <c r="K21" s="87"/>
      <c r="L21" s="88"/>
      <c r="M21" s="86"/>
      <c r="N21" s="86"/>
      <c r="O21" s="86"/>
      <c r="P21" s="75"/>
      <c r="Q21" s="89"/>
      <c r="R21" s="86"/>
      <c r="S21" s="86"/>
      <c r="T21" s="86"/>
      <c r="U21" s="87"/>
      <c r="V21" s="88"/>
      <c r="W21" s="86"/>
      <c r="X21" s="86"/>
      <c r="Y21" s="86"/>
      <c r="Z21" s="75"/>
      <c r="AA21" s="89"/>
      <c r="AB21" s="86"/>
      <c r="AC21" s="86"/>
      <c r="AD21" s="75"/>
      <c r="AE21" s="87"/>
      <c r="AF21" s="57"/>
      <c r="AG21" s="58"/>
      <c r="AH21" s="147"/>
      <c r="AI21" s="148"/>
      <c r="AJ21" s="115"/>
      <c r="AK21" s="115"/>
      <c r="AL21" s="115"/>
      <c r="AM21" s="118"/>
    </row>
    <row r="22" spans="1:42" ht="21.9" customHeight="1" x14ac:dyDescent="0.35">
      <c r="A22" s="99">
        <v>10</v>
      </c>
      <c r="B22" s="126"/>
      <c r="C22" s="120"/>
      <c r="D22" s="120"/>
      <c r="E22" s="120"/>
      <c r="F22" s="120"/>
      <c r="G22" s="84"/>
      <c r="H22" s="85"/>
      <c r="I22" s="86"/>
      <c r="J22" s="86"/>
      <c r="K22" s="87"/>
      <c r="L22" s="88"/>
      <c r="M22" s="86"/>
      <c r="N22" s="86"/>
      <c r="O22" s="86"/>
      <c r="P22" s="75"/>
      <c r="Q22" s="89"/>
      <c r="R22" s="86"/>
      <c r="S22" s="86"/>
      <c r="T22" s="86"/>
      <c r="U22" s="87"/>
      <c r="V22" s="88"/>
      <c r="W22" s="86"/>
      <c r="X22" s="86"/>
      <c r="Y22" s="86"/>
      <c r="Z22" s="75"/>
      <c r="AA22" s="89"/>
      <c r="AB22" s="86"/>
      <c r="AC22" s="86"/>
      <c r="AD22" s="75"/>
      <c r="AE22" s="87"/>
      <c r="AF22" s="57"/>
      <c r="AG22" s="58"/>
      <c r="AH22" s="147"/>
      <c r="AI22" s="148"/>
      <c r="AJ22" s="115"/>
      <c r="AK22" s="115"/>
      <c r="AL22" s="115"/>
      <c r="AM22" s="118"/>
    </row>
    <row r="23" spans="1:42" ht="21.9" customHeight="1" x14ac:dyDescent="0.35">
      <c r="A23" s="99">
        <v>11</v>
      </c>
      <c r="B23" s="126"/>
      <c r="C23" s="120"/>
      <c r="D23" s="120"/>
      <c r="E23" s="120"/>
      <c r="F23" s="120"/>
      <c r="G23" s="84"/>
      <c r="H23" s="85"/>
      <c r="I23" s="86"/>
      <c r="J23" s="86"/>
      <c r="K23" s="87"/>
      <c r="L23" s="88"/>
      <c r="M23" s="86"/>
      <c r="N23" s="86"/>
      <c r="O23" s="86"/>
      <c r="P23" s="75"/>
      <c r="Q23" s="89"/>
      <c r="R23" s="86"/>
      <c r="S23" s="86"/>
      <c r="T23" s="86"/>
      <c r="U23" s="87"/>
      <c r="V23" s="88"/>
      <c r="W23" s="86"/>
      <c r="X23" s="86"/>
      <c r="Y23" s="86"/>
      <c r="Z23" s="75"/>
      <c r="AA23" s="89"/>
      <c r="AB23" s="86"/>
      <c r="AC23" s="86"/>
      <c r="AD23" s="75"/>
      <c r="AE23" s="87"/>
      <c r="AF23" s="57"/>
      <c r="AG23" s="58"/>
      <c r="AH23" s="147"/>
      <c r="AI23" s="148"/>
      <c r="AJ23" s="115"/>
      <c r="AK23" s="115"/>
      <c r="AL23" s="115"/>
      <c r="AM23" s="118"/>
    </row>
    <row r="24" spans="1:42" ht="21.9" customHeight="1" x14ac:dyDescent="0.35">
      <c r="A24" s="99">
        <v>12</v>
      </c>
      <c r="B24" s="126"/>
      <c r="C24" s="120"/>
      <c r="D24" s="120"/>
      <c r="E24" s="120"/>
      <c r="F24" s="120"/>
      <c r="G24" s="84"/>
      <c r="H24" s="85"/>
      <c r="I24" s="86"/>
      <c r="J24" s="86"/>
      <c r="K24" s="87"/>
      <c r="L24" s="88"/>
      <c r="M24" s="86"/>
      <c r="N24" s="86"/>
      <c r="O24" s="86"/>
      <c r="P24" s="75"/>
      <c r="Q24" s="89"/>
      <c r="R24" s="86"/>
      <c r="S24" s="86"/>
      <c r="T24" s="86"/>
      <c r="U24" s="87"/>
      <c r="V24" s="88"/>
      <c r="W24" s="86"/>
      <c r="X24" s="86"/>
      <c r="Y24" s="86"/>
      <c r="Z24" s="75"/>
      <c r="AA24" s="89"/>
      <c r="AB24" s="86"/>
      <c r="AC24" s="86"/>
      <c r="AD24" s="75"/>
      <c r="AE24" s="87"/>
      <c r="AF24" s="57"/>
      <c r="AG24" s="58"/>
      <c r="AH24" s="147"/>
      <c r="AI24" s="148"/>
      <c r="AJ24" s="115"/>
      <c r="AK24" s="115"/>
      <c r="AL24" s="115"/>
      <c r="AM24" s="118"/>
    </row>
    <row r="25" spans="1:42" ht="21.9" customHeight="1" x14ac:dyDescent="0.35">
      <c r="A25" s="99">
        <v>13</v>
      </c>
      <c r="B25" s="126"/>
      <c r="C25" s="120"/>
      <c r="D25" s="120"/>
      <c r="E25" s="120"/>
      <c r="F25" s="120"/>
      <c r="G25" s="84"/>
      <c r="H25" s="85"/>
      <c r="I25" s="86"/>
      <c r="J25" s="86"/>
      <c r="K25" s="87"/>
      <c r="L25" s="88"/>
      <c r="M25" s="86"/>
      <c r="N25" s="86"/>
      <c r="O25" s="86"/>
      <c r="P25" s="75"/>
      <c r="Q25" s="89"/>
      <c r="R25" s="86"/>
      <c r="S25" s="86"/>
      <c r="T25" s="86"/>
      <c r="U25" s="87"/>
      <c r="V25" s="88"/>
      <c r="W25" s="86"/>
      <c r="X25" s="86"/>
      <c r="Y25" s="86"/>
      <c r="Z25" s="75"/>
      <c r="AA25" s="89"/>
      <c r="AB25" s="86"/>
      <c r="AC25" s="86"/>
      <c r="AD25" s="75"/>
      <c r="AE25" s="87"/>
      <c r="AF25" s="57"/>
      <c r="AG25" s="58"/>
      <c r="AH25" s="147"/>
      <c r="AI25" s="148"/>
      <c r="AJ25" s="115"/>
      <c r="AK25" s="115"/>
      <c r="AL25" s="115"/>
      <c r="AM25" s="118"/>
    </row>
    <row r="26" spans="1:42" ht="21.9" customHeight="1" x14ac:dyDescent="0.35">
      <c r="A26" s="99">
        <v>14</v>
      </c>
      <c r="B26" s="126"/>
      <c r="C26" s="120"/>
      <c r="D26" s="120"/>
      <c r="E26" s="120"/>
      <c r="F26" s="120"/>
      <c r="G26" s="84"/>
      <c r="H26" s="85"/>
      <c r="I26" s="86"/>
      <c r="J26" s="86"/>
      <c r="K26" s="87"/>
      <c r="L26" s="88"/>
      <c r="M26" s="86"/>
      <c r="N26" s="86"/>
      <c r="O26" s="86"/>
      <c r="P26" s="75"/>
      <c r="Q26" s="89"/>
      <c r="R26" s="86"/>
      <c r="S26" s="86"/>
      <c r="T26" s="86"/>
      <c r="U26" s="87"/>
      <c r="V26" s="88"/>
      <c r="W26" s="86"/>
      <c r="X26" s="86"/>
      <c r="Y26" s="86"/>
      <c r="Z26" s="75"/>
      <c r="AA26" s="89"/>
      <c r="AB26" s="86"/>
      <c r="AC26" s="86"/>
      <c r="AD26" s="75"/>
      <c r="AE26" s="87"/>
      <c r="AF26" s="57"/>
      <c r="AG26" s="58"/>
      <c r="AH26" s="147"/>
      <c r="AI26" s="148"/>
      <c r="AJ26" s="115"/>
      <c r="AK26" s="115"/>
      <c r="AL26" s="115"/>
      <c r="AM26" s="118"/>
    </row>
    <row r="27" spans="1:42" ht="21.9" customHeight="1" x14ac:dyDescent="0.35">
      <c r="A27" s="99">
        <v>15</v>
      </c>
      <c r="B27" s="126"/>
      <c r="C27" s="120"/>
      <c r="D27" s="120"/>
      <c r="E27" s="120"/>
      <c r="F27" s="120"/>
      <c r="G27" s="84"/>
      <c r="H27" s="85"/>
      <c r="I27" s="86"/>
      <c r="J27" s="86"/>
      <c r="K27" s="87"/>
      <c r="L27" s="88"/>
      <c r="M27" s="86"/>
      <c r="N27" s="86"/>
      <c r="O27" s="86"/>
      <c r="P27" s="75"/>
      <c r="Q27" s="89"/>
      <c r="R27" s="86"/>
      <c r="S27" s="86"/>
      <c r="T27" s="86"/>
      <c r="U27" s="87"/>
      <c r="V27" s="88"/>
      <c r="W27" s="86"/>
      <c r="X27" s="86"/>
      <c r="Y27" s="86"/>
      <c r="Z27" s="75"/>
      <c r="AA27" s="89"/>
      <c r="AB27" s="86"/>
      <c r="AC27" s="86"/>
      <c r="AD27" s="75"/>
      <c r="AE27" s="87"/>
      <c r="AF27" s="57"/>
      <c r="AG27" s="58"/>
      <c r="AH27" s="147"/>
      <c r="AI27" s="148"/>
      <c r="AJ27" s="115"/>
      <c r="AK27" s="115"/>
      <c r="AL27" s="115"/>
      <c r="AM27" s="118"/>
    </row>
    <row r="28" spans="1:42" ht="21.9" customHeight="1" x14ac:dyDescent="0.35">
      <c r="A28" s="99">
        <v>16</v>
      </c>
      <c r="B28" s="126"/>
      <c r="C28" s="120"/>
      <c r="D28" s="120"/>
      <c r="E28" s="120"/>
      <c r="F28" s="120"/>
      <c r="G28" s="84"/>
      <c r="H28" s="85"/>
      <c r="I28" s="86"/>
      <c r="J28" s="86"/>
      <c r="K28" s="87"/>
      <c r="L28" s="88"/>
      <c r="M28" s="86"/>
      <c r="N28" s="86"/>
      <c r="O28" s="86"/>
      <c r="P28" s="75"/>
      <c r="Q28" s="89"/>
      <c r="R28" s="86"/>
      <c r="S28" s="86"/>
      <c r="T28" s="86"/>
      <c r="U28" s="87"/>
      <c r="V28" s="88"/>
      <c r="W28" s="86"/>
      <c r="X28" s="86"/>
      <c r="Y28" s="86"/>
      <c r="Z28" s="75"/>
      <c r="AA28" s="89"/>
      <c r="AB28" s="86"/>
      <c r="AC28" s="86"/>
      <c r="AD28" s="75"/>
      <c r="AE28" s="87"/>
      <c r="AF28" s="57"/>
      <c r="AG28" s="58"/>
      <c r="AH28" s="147"/>
      <c r="AI28" s="148"/>
      <c r="AJ28" s="115"/>
      <c r="AK28" s="115"/>
      <c r="AL28" s="115"/>
      <c r="AM28" s="118"/>
    </row>
    <row r="29" spans="1:42" ht="21.9" customHeight="1" x14ac:dyDescent="0.35">
      <c r="A29" s="99">
        <v>17</v>
      </c>
      <c r="B29" s="126"/>
      <c r="C29" s="120"/>
      <c r="D29" s="120"/>
      <c r="E29" s="120"/>
      <c r="F29" s="120"/>
      <c r="G29" s="84"/>
      <c r="H29" s="85"/>
      <c r="I29" s="86"/>
      <c r="J29" s="86"/>
      <c r="K29" s="87"/>
      <c r="L29" s="88"/>
      <c r="M29" s="86"/>
      <c r="N29" s="86"/>
      <c r="O29" s="86"/>
      <c r="P29" s="75"/>
      <c r="Q29" s="89"/>
      <c r="R29" s="86"/>
      <c r="S29" s="86"/>
      <c r="T29" s="86"/>
      <c r="U29" s="87"/>
      <c r="V29" s="88"/>
      <c r="W29" s="86"/>
      <c r="X29" s="86"/>
      <c r="Y29" s="86"/>
      <c r="Z29" s="75"/>
      <c r="AA29" s="89"/>
      <c r="AB29" s="86"/>
      <c r="AC29" s="86"/>
      <c r="AD29" s="75"/>
      <c r="AE29" s="87"/>
      <c r="AF29" s="57"/>
      <c r="AG29" s="58"/>
      <c r="AH29" s="147"/>
      <c r="AI29" s="148"/>
      <c r="AJ29" s="115"/>
      <c r="AK29" s="115"/>
      <c r="AL29" s="115"/>
      <c r="AM29" s="118"/>
    </row>
    <row r="30" spans="1:42" ht="21.9" customHeight="1" x14ac:dyDescent="0.35">
      <c r="A30" s="99">
        <v>18</v>
      </c>
      <c r="B30" s="126"/>
      <c r="C30" s="120"/>
      <c r="D30" s="120"/>
      <c r="E30" s="120"/>
      <c r="F30" s="120"/>
      <c r="G30" s="84"/>
      <c r="H30" s="85"/>
      <c r="I30" s="86"/>
      <c r="J30" s="86"/>
      <c r="K30" s="87"/>
      <c r="L30" s="88"/>
      <c r="M30" s="86"/>
      <c r="N30" s="86"/>
      <c r="O30" s="86"/>
      <c r="P30" s="75"/>
      <c r="Q30" s="89"/>
      <c r="R30" s="86"/>
      <c r="S30" s="86"/>
      <c r="T30" s="86"/>
      <c r="U30" s="87"/>
      <c r="V30" s="88"/>
      <c r="W30" s="86"/>
      <c r="X30" s="86"/>
      <c r="Y30" s="86"/>
      <c r="Z30" s="75"/>
      <c r="AA30" s="89"/>
      <c r="AB30" s="86"/>
      <c r="AC30" s="86"/>
      <c r="AD30" s="75"/>
      <c r="AE30" s="87"/>
      <c r="AF30" s="57"/>
      <c r="AG30" s="58"/>
      <c r="AH30" s="147"/>
      <c r="AI30" s="148"/>
      <c r="AJ30" s="115"/>
      <c r="AK30" s="115"/>
      <c r="AL30" s="115"/>
      <c r="AM30" s="118"/>
    </row>
    <row r="31" spans="1:42" ht="21.9" customHeight="1" x14ac:dyDescent="0.35">
      <c r="A31" s="99">
        <v>19</v>
      </c>
      <c r="B31" s="126"/>
      <c r="C31" s="120"/>
      <c r="D31" s="120"/>
      <c r="E31" s="120"/>
      <c r="F31" s="120"/>
      <c r="G31" s="84"/>
      <c r="H31" s="85"/>
      <c r="I31" s="86"/>
      <c r="J31" s="86"/>
      <c r="K31" s="87"/>
      <c r="L31" s="88"/>
      <c r="M31" s="86"/>
      <c r="N31" s="86"/>
      <c r="O31" s="86"/>
      <c r="P31" s="75"/>
      <c r="Q31" s="89"/>
      <c r="R31" s="86"/>
      <c r="S31" s="86"/>
      <c r="T31" s="86"/>
      <c r="U31" s="87"/>
      <c r="V31" s="88"/>
      <c r="W31" s="86"/>
      <c r="X31" s="86"/>
      <c r="Y31" s="86"/>
      <c r="Z31" s="75"/>
      <c r="AA31" s="89"/>
      <c r="AB31" s="86"/>
      <c r="AC31" s="86"/>
      <c r="AD31" s="75"/>
      <c r="AE31" s="87"/>
      <c r="AF31" s="57"/>
      <c r="AG31" s="58"/>
      <c r="AH31" s="147"/>
      <c r="AI31" s="148"/>
      <c r="AJ31" s="115"/>
      <c r="AK31" s="115"/>
      <c r="AL31" s="115"/>
      <c r="AM31" s="118"/>
    </row>
    <row r="32" spans="1:42" ht="21.9" customHeight="1" x14ac:dyDescent="0.35">
      <c r="A32" s="99">
        <v>20</v>
      </c>
      <c r="B32" s="126"/>
      <c r="C32" s="120"/>
      <c r="D32" s="120"/>
      <c r="E32" s="120"/>
      <c r="F32" s="120"/>
      <c r="G32" s="84"/>
      <c r="H32" s="85"/>
      <c r="I32" s="86"/>
      <c r="J32" s="86"/>
      <c r="K32" s="87"/>
      <c r="L32" s="88"/>
      <c r="M32" s="86"/>
      <c r="N32" s="86"/>
      <c r="O32" s="86"/>
      <c r="P32" s="75"/>
      <c r="Q32" s="89"/>
      <c r="R32" s="86"/>
      <c r="S32" s="86"/>
      <c r="T32" s="86"/>
      <c r="U32" s="87"/>
      <c r="V32" s="88"/>
      <c r="W32" s="86"/>
      <c r="X32" s="86"/>
      <c r="Y32" s="86"/>
      <c r="Z32" s="75"/>
      <c r="AA32" s="89"/>
      <c r="AB32" s="86"/>
      <c r="AC32" s="86"/>
      <c r="AD32" s="75"/>
      <c r="AE32" s="87"/>
      <c r="AF32" s="57"/>
      <c r="AG32" s="58"/>
      <c r="AH32" s="147"/>
      <c r="AI32" s="148"/>
      <c r="AJ32" s="115"/>
      <c r="AK32" s="115"/>
      <c r="AL32" s="115"/>
      <c r="AM32" s="118"/>
    </row>
    <row r="33" spans="1:39" ht="21.9" customHeight="1" x14ac:dyDescent="0.35">
      <c r="A33" s="99">
        <v>21</v>
      </c>
      <c r="B33" s="126"/>
      <c r="C33" s="120"/>
      <c r="D33" s="120"/>
      <c r="E33" s="120"/>
      <c r="F33" s="120"/>
      <c r="G33" s="84"/>
      <c r="H33" s="85"/>
      <c r="I33" s="86"/>
      <c r="J33" s="86"/>
      <c r="K33" s="87"/>
      <c r="L33" s="88"/>
      <c r="M33" s="86"/>
      <c r="N33" s="86"/>
      <c r="O33" s="86"/>
      <c r="P33" s="75"/>
      <c r="Q33" s="89"/>
      <c r="R33" s="86"/>
      <c r="S33" s="86"/>
      <c r="T33" s="86"/>
      <c r="U33" s="87"/>
      <c r="V33" s="88"/>
      <c r="W33" s="86"/>
      <c r="X33" s="86"/>
      <c r="Y33" s="86"/>
      <c r="Z33" s="75"/>
      <c r="AA33" s="89"/>
      <c r="AB33" s="86"/>
      <c r="AC33" s="86"/>
      <c r="AD33" s="75"/>
      <c r="AE33" s="87"/>
      <c r="AF33" s="57"/>
      <c r="AG33" s="58"/>
      <c r="AH33" s="147"/>
      <c r="AI33" s="148"/>
      <c r="AJ33" s="115"/>
      <c r="AK33" s="115"/>
      <c r="AL33" s="115"/>
      <c r="AM33" s="118"/>
    </row>
    <row r="34" spans="1:39" ht="21.9" customHeight="1" x14ac:dyDescent="0.35">
      <c r="A34" s="99">
        <v>22</v>
      </c>
      <c r="B34" s="126"/>
      <c r="C34" s="120"/>
      <c r="D34" s="120"/>
      <c r="E34" s="120"/>
      <c r="F34" s="120"/>
      <c r="G34" s="84"/>
      <c r="H34" s="85"/>
      <c r="I34" s="86"/>
      <c r="J34" s="86"/>
      <c r="K34" s="87"/>
      <c r="L34" s="88"/>
      <c r="M34" s="86"/>
      <c r="N34" s="86"/>
      <c r="O34" s="86"/>
      <c r="P34" s="75"/>
      <c r="Q34" s="89"/>
      <c r="R34" s="86"/>
      <c r="S34" s="86"/>
      <c r="T34" s="86"/>
      <c r="U34" s="87"/>
      <c r="V34" s="88"/>
      <c r="W34" s="86"/>
      <c r="X34" s="86"/>
      <c r="Y34" s="86"/>
      <c r="Z34" s="75"/>
      <c r="AA34" s="89"/>
      <c r="AB34" s="86"/>
      <c r="AC34" s="86"/>
      <c r="AD34" s="75"/>
      <c r="AE34" s="87"/>
      <c r="AF34" s="57"/>
      <c r="AG34" s="58"/>
      <c r="AH34" s="147"/>
      <c r="AI34" s="148"/>
      <c r="AJ34" s="115"/>
      <c r="AK34" s="115"/>
      <c r="AL34" s="115"/>
      <c r="AM34" s="118"/>
    </row>
    <row r="35" spans="1:39" ht="21.9" customHeight="1" x14ac:dyDescent="0.35">
      <c r="A35" s="99">
        <v>23</v>
      </c>
      <c r="B35" s="126"/>
      <c r="C35" s="120"/>
      <c r="D35" s="120"/>
      <c r="E35" s="120"/>
      <c r="F35" s="120"/>
      <c r="G35" s="84"/>
      <c r="H35" s="85"/>
      <c r="I35" s="86"/>
      <c r="J35" s="86"/>
      <c r="K35" s="87"/>
      <c r="L35" s="88"/>
      <c r="M35" s="86"/>
      <c r="N35" s="86"/>
      <c r="O35" s="86"/>
      <c r="P35" s="75"/>
      <c r="Q35" s="89"/>
      <c r="R35" s="86"/>
      <c r="S35" s="86"/>
      <c r="T35" s="86"/>
      <c r="U35" s="87"/>
      <c r="V35" s="88"/>
      <c r="W35" s="86"/>
      <c r="X35" s="86"/>
      <c r="Y35" s="86"/>
      <c r="Z35" s="75"/>
      <c r="AA35" s="89"/>
      <c r="AB35" s="86"/>
      <c r="AC35" s="86"/>
      <c r="AD35" s="75"/>
      <c r="AE35" s="87"/>
      <c r="AF35" s="57"/>
      <c r="AG35" s="58"/>
      <c r="AH35" s="147"/>
      <c r="AI35" s="148"/>
      <c r="AJ35" s="115"/>
      <c r="AK35" s="115"/>
      <c r="AL35" s="115"/>
      <c r="AM35" s="118"/>
    </row>
    <row r="36" spans="1:39" ht="21.9" customHeight="1" x14ac:dyDescent="0.35">
      <c r="A36" s="99">
        <v>24</v>
      </c>
      <c r="B36" s="126"/>
      <c r="C36" s="120"/>
      <c r="D36" s="120"/>
      <c r="E36" s="120"/>
      <c r="F36" s="120"/>
      <c r="G36" s="84"/>
      <c r="H36" s="85"/>
      <c r="I36" s="86"/>
      <c r="J36" s="86"/>
      <c r="K36" s="87"/>
      <c r="L36" s="88"/>
      <c r="M36" s="86"/>
      <c r="N36" s="86"/>
      <c r="O36" s="86"/>
      <c r="P36" s="75"/>
      <c r="Q36" s="89"/>
      <c r="R36" s="86"/>
      <c r="S36" s="86"/>
      <c r="T36" s="86"/>
      <c r="U36" s="87"/>
      <c r="V36" s="88"/>
      <c r="W36" s="86"/>
      <c r="X36" s="86"/>
      <c r="Y36" s="86"/>
      <c r="Z36" s="75"/>
      <c r="AA36" s="89"/>
      <c r="AB36" s="86"/>
      <c r="AC36" s="86"/>
      <c r="AD36" s="75"/>
      <c r="AE36" s="87"/>
      <c r="AF36" s="57"/>
      <c r="AG36" s="58"/>
      <c r="AH36" s="147"/>
      <c r="AI36" s="148"/>
      <c r="AJ36" s="115"/>
      <c r="AK36" s="115"/>
      <c r="AL36" s="115"/>
      <c r="AM36" s="118"/>
    </row>
    <row r="37" spans="1:39" ht="21.9" customHeight="1" x14ac:dyDescent="0.35">
      <c r="A37" s="99">
        <v>25</v>
      </c>
      <c r="B37" s="126"/>
      <c r="C37" s="120"/>
      <c r="D37" s="120"/>
      <c r="E37" s="120"/>
      <c r="F37" s="120"/>
      <c r="G37" s="84"/>
      <c r="H37" s="85"/>
      <c r="I37" s="86"/>
      <c r="J37" s="86"/>
      <c r="K37" s="87"/>
      <c r="L37" s="88"/>
      <c r="M37" s="86"/>
      <c r="N37" s="86"/>
      <c r="O37" s="86"/>
      <c r="P37" s="75"/>
      <c r="Q37" s="89"/>
      <c r="R37" s="86"/>
      <c r="S37" s="86"/>
      <c r="T37" s="86"/>
      <c r="U37" s="87"/>
      <c r="V37" s="88"/>
      <c r="W37" s="86"/>
      <c r="X37" s="86"/>
      <c r="Y37" s="86"/>
      <c r="Z37" s="75"/>
      <c r="AA37" s="89"/>
      <c r="AB37" s="86"/>
      <c r="AC37" s="86"/>
      <c r="AD37" s="75"/>
      <c r="AE37" s="87"/>
      <c r="AF37" s="57"/>
      <c r="AG37" s="58"/>
      <c r="AH37" s="147"/>
      <c r="AI37" s="148"/>
      <c r="AJ37" s="115"/>
      <c r="AK37" s="115"/>
      <c r="AL37" s="115"/>
      <c r="AM37" s="118"/>
    </row>
    <row r="38" spans="1:39" ht="21.9" customHeight="1" x14ac:dyDescent="0.35">
      <c r="A38" s="99">
        <v>26</v>
      </c>
      <c r="B38" s="126"/>
      <c r="C38" s="120"/>
      <c r="D38" s="120"/>
      <c r="E38" s="120"/>
      <c r="F38" s="120"/>
      <c r="G38" s="84"/>
      <c r="H38" s="85"/>
      <c r="I38" s="86"/>
      <c r="J38" s="86"/>
      <c r="K38" s="87"/>
      <c r="L38" s="88"/>
      <c r="M38" s="86"/>
      <c r="N38" s="86"/>
      <c r="O38" s="86"/>
      <c r="P38" s="75"/>
      <c r="Q38" s="89"/>
      <c r="R38" s="86"/>
      <c r="S38" s="86"/>
      <c r="T38" s="86"/>
      <c r="U38" s="87"/>
      <c r="V38" s="88"/>
      <c r="W38" s="86"/>
      <c r="X38" s="86"/>
      <c r="Y38" s="86"/>
      <c r="Z38" s="75"/>
      <c r="AA38" s="89"/>
      <c r="AB38" s="86"/>
      <c r="AC38" s="86"/>
      <c r="AD38" s="75"/>
      <c r="AE38" s="87"/>
      <c r="AF38" s="57"/>
      <c r="AG38" s="58"/>
      <c r="AH38" s="147"/>
      <c r="AI38" s="148"/>
      <c r="AJ38" s="115"/>
      <c r="AK38" s="115"/>
      <c r="AL38" s="115"/>
      <c r="AM38" s="118"/>
    </row>
    <row r="39" spans="1:39" ht="21.9" customHeight="1" x14ac:dyDescent="0.35">
      <c r="A39" s="99">
        <v>27</v>
      </c>
      <c r="B39" s="126"/>
      <c r="C39" s="120"/>
      <c r="D39" s="120"/>
      <c r="E39" s="120"/>
      <c r="F39" s="120"/>
      <c r="G39" s="84"/>
      <c r="H39" s="85"/>
      <c r="I39" s="86"/>
      <c r="J39" s="86"/>
      <c r="K39" s="87"/>
      <c r="L39" s="88"/>
      <c r="M39" s="86"/>
      <c r="N39" s="86"/>
      <c r="O39" s="86"/>
      <c r="P39" s="75"/>
      <c r="Q39" s="89"/>
      <c r="R39" s="86"/>
      <c r="S39" s="86"/>
      <c r="T39" s="86"/>
      <c r="U39" s="87"/>
      <c r="V39" s="88"/>
      <c r="W39" s="86"/>
      <c r="X39" s="86"/>
      <c r="Y39" s="86"/>
      <c r="Z39" s="75"/>
      <c r="AA39" s="89"/>
      <c r="AB39" s="86"/>
      <c r="AC39" s="86"/>
      <c r="AD39" s="75"/>
      <c r="AE39" s="87"/>
      <c r="AF39" s="57"/>
      <c r="AG39" s="58"/>
      <c r="AH39" s="147"/>
      <c r="AI39" s="148"/>
      <c r="AJ39" s="115"/>
      <c r="AK39" s="115"/>
      <c r="AL39" s="115"/>
      <c r="AM39" s="118"/>
    </row>
    <row r="40" spans="1:39" ht="21.9" customHeight="1" x14ac:dyDescent="0.35">
      <c r="A40" s="99">
        <v>28</v>
      </c>
      <c r="B40" s="126"/>
      <c r="C40" s="120"/>
      <c r="D40" s="120"/>
      <c r="E40" s="120"/>
      <c r="F40" s="120"/>
      <c r="G40" s="84"/>
      <c r="H40" s="85"/>
      <c r="I40" s="86"/>
      <c r="J40" s="86"/>
      <c r="K40" s="87"/>
      <c r="L40" s="88"/>
      <c r="M40" s="86"/>
      <c r="N40" s="86"/>
      <c r="O40" s="86"/>
      <c r="P40" s="75"/>
      <c r="Q40" s="89"/>
      <c r="R40" s="86"/>
      <c r="S40" s="86"/>
      <c r="T40" s="86"/>
      <c r="U40" s="87"/>
      <c r="V40" s="88"/>
      <c r="W40" s="86"/>
      <c r="X40" s="86"/>
      <c r="Y40" s="86"/>
      <c r="Z40" s="75"/>
      <c r="AA40" s="89"/>
      <c r="AB40" s="86"/>
      <c r="AC40" s="86"/>
      <c r="AD40" s="75"/>
      <c r="AE40" s="87"/>
      <c r="AF40" s="57"/>
      <c r="AG40" s="58"/>
      <c r="AH40" s="147"/>
      <c r="AI40" s="148"/>
      <c r="AJ40" s="115"/>
      <c r="AK40" s="115"/>
      <c r="AL40" s="115"/>
      <c r="AM40" s="118"/>
    </row>
    <row r="41" spans="1:39" ht="21.9" customHeight="1" x14ac:dyDescent="0.35">
      <c r="A41" s="99">
        <v>29</v>
      </c>
      <c r="B41" s="126"/>
      <c r="C41" s="120"/>
      <c r="D41" s="120"/>
      <c r="E41" s="120"/>
      <c r="F41" s="120"/>
      <c r="G41" s="84"/>
      <c r="H41" s="85"/>
      <c r="I41" s="86"/>
      <c r="J41" s="86"/>
      <c r="K41" s="87"/>
      <c r="L41" s="88"/>
      <c r="M41" s="86"/>
      <c r="N41" s="86"/>
      <c r="O41" s="86"/>
      <c r="P41" s="75"/>
      <c r="Q41" s="89"/>
      <c r="R41" s="86"/>
      <c r="S41" s="86"/>
      <c r="T41" s="86"/>
      <c r="U41" s="87"/>
      <c r="V41" s="88"/>
      <c r="W41" s="86"/>
      <c r="X41" s="86"/>
      <c r="Y41" s="86"/>
      <c r="Z41" s="75"/>
      <c r="AA41" s="89"/>
      <c r="AB41" s="86"/>
      <c r="AC41" s="86"/>
      <c r="AD41" s="75"/>
      <c r="AE41" s="87"/>
      <c r="AF41" s="57" t="str">
        <f t="shared" si="0"/>
        <v/>
      </c>
      <c r="AG41" s="58" t="str">
        <f>IF(B41="","",$AJ$117-AF41)</f>
        <v/>
      </c>
      <c r="AH41" s="147"/>
      <c r="AI41" s="148"/>
      <c r="AJ41" s="148"/>
      <c r="AK41" s="148"/>
      <c r="AL41" s="148"/>
      <c r="AM41" s="149"/>
    </row>
    <row r="42" spans="1:39" ht="21.9" customHeight="1" x14ac:dyDescent="0.35">
      <c r="A42" s="99">
        <v>30</v>
      </c>
      <c r="B42" s="126"/>
      <c r="C42" s="120"/>
      <c r="D42" s="120"/>
      <c r="E42" s="120"/>
      <c r="F42" s="120"/>
      <c r="G42" s="84"/>
      <c r="H42" s="85"/>
      <c r="I42" s="86"/>
      <c r="J42" s="86"/>
      <c r="K42" s="87"/>
      <c r="L42" s="88"/>
      <c r="M42" s="86"/>
      <c r="N42" s="86"/>
      <c r="O42" s="86"/>
      <c r="P42" s="75"/>
      <c r="Q42" s="89"/>
      <c r="R42" s="86"/>
      <c r="S42" s="86"/>
      <c r="T42" s="86"/>
      <c r="U42" s="87"/>
      <c r="V42" s="88"/>
      <c r="W42" s="86"/>
      <c r="X42" s="86"/>
      <c r="Y42" s="86"/>
      <c r="Z42" s="75"/>
      <c r="AA42" s="89"/>
      <c r="AB42" s="86"/>
      <c r="AC42" s="86"/>
      <c r="AD42" s="75"/>
      <c r="AE42" s="87"/>
      <c r="AF42" s="57" t="str">
        <f t="shared" si="0"/>
        <v/>
      </c>
      <c r="AG42" s="58" t="str">
        <f>IF(B42="","",$AJ$117-AF42)</f>
        <v/>
      </c>
      <c r="AH42" s="147"/>
      <c r="AI42" s="148"/>
      <c r="AJ42" s="148"/>
      <c r="AK42" s="148"/>
      <c r="AL42" s="148"/>
      <c r="AM42" s="149"/>
    </row>
    <row r="43" spans="1:39" ht="21.9" customHeight="1" x14ac:dyDescent="0.35">
      <c r="A43" s="99">
        <v>31</v>
      </c>
      <c r="B43" s="126"/>
      <c r="C43" s="120"/>
      <c r="D43" s="120"/>
      <c r="E43" s="120"/>
      <c r="F43" s="120"/>
      <c r="G43" s="84"/>
      <c r="H43" s="85"/>
      <c r="I43" s="86"/>
      <c r="J43" s="86"/>
      <c r="K43" s="87"/>
      <c r="L43" s="88"/>
      <c r="M43" s="86"/>
      <c r="N43" s="86"/>
      <c r="O43" s="86"/>
      <c r="P43" s="75"/>
      <c r="Q43" s="89"/>
      <c r="R43" s="86"/>
      <c r="S43" s="86"/>
      <c r="T43" s="86"/>
      <c r="U43" s="87"/>
      <c r="V43" s="88"/>
      <c r="W43" s="86"/>
      <c r="X43" s="86"/>
      <c r="Y43" s="86"/>
      <c r="Z43" s="75"/>
      <c r="AA43" s="89"/>
      <c r="AB43" s="86"/>
      <c r="AC43" s="86"/>
      <c r="AD43" s="75"/>
      <c r="AE43" s="87"/>
      <c r="AF43" s="57" t="str">
        <f t="shared" si="0"/>
        <v/>
      </c>
      <c r="AG43" s="58" t="str">
        <f>IF(B43="","",$AJ$117-AF43)</f>
        <v/>
      </c>
      <c r="AH43" s="147"/>
      <c r="AI43" s="148"/>
      <c r="AJ43" s="148"/>
      <c r="AK43" s="148"/>
      <c r="AL43" s="148"/>
      <c r="AM43" s="149"/>
    </row>
    <row r="44" spans="1:39" ht="21.9" customHeight="1" x14ac:dyDescent="0.35">
      <c r="A44" s="99">
        <v>32</v>
      </c>
      <c r="B44" s="126"/>
      <c r="C44" s="120"/>
      <c r="D44" s="120"/>
      <c r="E44" s="120"/>
      <c r="F44" s="120"/>
      <c r="G44" s="84"/>
      <c r="H44" s="85"/>
      <c r="I44" s="86"/>
      <c r="J44" s="86"/>
      <c r="K44" s="87"/>
      <c r="L44" s="88"/>
      <c r="M44" s="86"/>
      <c r="N44" s="86"/>
      <c r="O44" s="86"/>
      <c r="P44" s="75"/>
      <c r="Q44" s="89"/>
      <c r="R44" s="86"/>
      <c r="S44" s="86"/>
      <c r="T44" s="86"/>
      <c r="U44" s="87"/>
      <c r="V44" s="88"/>
      <c r="W44" s="86"/>
      <c r="X44" s="86"/>
      <c r="Y44" s="86"/>
      <c r="Z44" s="75"/>
      <c r="AA44" s="89"/>
      <c r="AB44" s="86"/>
      <c r="AC44" s="86"/>
      <c r="AD44" s="75"/>
      <c r="AE44" s="87"/>
      <c r="AF44" s="57" t="str">
        <f t="shared" si="0"/>
        <v/>
      </c>
      <c r="AG44" s="58" t="str">
        <f>IF(B44="","",$AJ$117-AF44)</f>
        <v/>
      </c>
      <c r="AH44" s="147"/>
      <c r="AI44" s="148"/>
      <c r="AJ44" s="148"/>
      <c r="AK44" s="148"/>
      <c r="AL44" s="148"/>
      <c r="AM44" s="149"/>
    </row>
    <row r="45" spans="1:39" ht="21.9" customHeight="1" x14ac:dyDescent="0.35">
      <c r="A45" s="99">
        <v>33</v>
      </c>
      <c r="B45" s="126"/>
      <c r="C45" s="120"/>
      <c r="D45" s="120"/>
      <c r="E45" s="120"/>
      <c r="F45" s="120"/>
      <c r="G45" s="84"/>
      <c r="H45" s="85"/>
      <c r="I45" s="86"/>
      <c r="J45" s="86"/>
      <c r="K45" s="87"/>
      <c r="L45" s="88"/>
      <c r="M45" s="86"/>
      <c r="N45" s="86"/>
      <c r="O45" s="86"/>
      <c r="P45" s="75"/>
      <c r="Q45" s="89"/>
      <c r="R45" s="86"/>
      <c r="S45" s="86"/>
      <c r="T45" s="86"/>
      <c r="U45" s="87"/>
      <c r="V45" s="88"/>
      <c r="W45" s="86"/>
      <c r="X45" s="86"/>
      <c r="Y45" s="86"/>
      <c r="Z45" s="75"/>
      <c r="AA45" s="89"/>
      <c r="AB45" s="86"/>
      <c r="AC45" s="86"/>
      <c r="AD45" s="75"/>
      <c r="AE45" s="87"/>
      <c r="AF45" s="57" t="str">
        <f t="shared" si="0"/>
        <v/>
      </c>
      <c r="AG45" s="58" t="str">
        <f>IF(B45="","",$AJ$117-AF45)</f>
        <v/>
      </c>
      <c r="AH45" s="147"/>
      <c r="AI45" s="148"/>
      <c r="AJ45" s="148"/>
      <c r="AK45" s="148"/>
      <c r="AL45" s="148"/>
      <c r="AM45" s="149"/>
    </row>
    <row r="46" spans="1:39" ht="21.9" customHeight="1" x14ac:dyDescent="0.35">
      <c r="A46" s="99">
        <v>34</v>
      </c>
      <c r="B46" s="126"/>
      <c r="C46" s="120"/>
      <c r="D46" s="120"/>
      <c r="E46" s="120"/>
      <c r="F46" s="120"/>
      <c r="G46" s="84"/>
      <c r="H46" s="85"/>
      <c r="I46" s="86"/>
      <c r="J46" s="86"/>
      <c r="K46" s="87"/>
      <c r="L46" s="88"/>
      <c r="M46" s="86"/>
      <c r="N46" s="86"/>
      <c r="O46" s="86"/>
      <c r="P46" s="75"/>
      <c r="Q46" s="89"/>
      <c r="R46" s="86"/>
      <c r="S46" s="86"/>
      <c r="T46" s="86"/>
      <c r="U46" s="87"/>
      <c r="V46" s="88"/>
      <c r="W46" s="86"/>
      <c r="X46" s="86"/>
      <c r="Y46" s="86"/>
      <c r="Z46" s="75"/>
      <c r="AA46" s="89"/>
      <c r="AB46" s="86"/>
      <c r="AC46" s="86"/>
      <c r="AD46" s="75"/>
      <c r="AE46" s="87"/>
      <c r="AF46" s="57" t="str">
        <f t="shared" si="0"/>
        <v/>
      </c>
      <c r="AG46" s="58" t="str">
        <f>IF(B46="","",$AJ$117-AF46)</f>
        <v/>
      </c>
      <c r="AH46" s="147"/>
      <c r="AI46" s="148"/>
      <c r="AJ46" s="148"/>
      <c r="AK46" s="148"/>
      <c r="AL46" s="148"/>
      <c r="AM46" s="149"/>
    </row>
    <row r="47" spans="1:39" ht="21.9" customHeight="1" x14ac:dyDescent="0.35">
      <c r="A47" s="99">
        <v>35</v>
      </c>
      <c r="B47" s="126"/>
      <c r="C47" s="120"/>
      <c r="D47" s="120"/>
      <c r="E47" s="120"/>
      <c r="F47" s="120"/>
      <c r="G47" s="84"/>
      <c r="H47" s="85"/>
      <c r="I47" s="86"/>
      <c r="J47" s="86"/>
      <c r="K47" s="87"/>
      <c r="L47" s="88"/>
      <c r="M47" s="86"/>
      <c r="N47" s="86"/>
      <c r="O47" s="86"/>
      <c r="P47" s="75"/>
      <c r="Q47" s="89"/>
      <c r="R47" s="86"/>
      <c r="S47" s="86"/>
      <c r="T47" s="86"/>
      <c r="U47" s="87"/>
      <c r="V47" s="88"/>
      <c r="W47" s="86"/>
      <c r="X47" s="86"/>
      <c r="Y47" s="86"/>
      <c r="Z47" s="75"/>
      <c r="AA47" s="89"/>
      <c r="AB47" s="86"/>
      <c r="AC47" s="86"/>
      <c r="AD47" s="75"/>
      <c r="AE47" s="87"/>
      <c r="AF47" s="57" t="str">
        <f t="shared" si="0"/>
        <v/>
      </c>
      <c r="AG47" s="58" t="str">
        <f>IF(B47="","",$AJ$117-AF47)</f>
        <v/>
      </c>
      <c r="AH47" s="147"/>
      <c r="AI47" s="148"/>
      <c r="AJ47" s="148"/>
      <c r="AK47" s="148"/>
      <c r="AL47" s="148"/>
      <c r="AM47" s="149"/>
    </row>
    <row r="48" spans="1:39" ht="21.9" customHeight="1" x14ac:dyDescent="0.35">
      <c r="A48" s="99">
        <v>36</v>
      </c>
      <c r="B48" s="126"/>
      <c r="C48" s="120"/>
      <c r="D48" s="120"/>
      <c r="E48" s="120"/>
      <c r="F48" s="120"/>
      <c r="G48" s="84"/>
      <c r="H48" s="85"/>
      <c r="I48" s="86"/>
      <c r="J48" s="86"/>
      <c r="K48" s="87"/>
      <c r="L48" s="88"/>
      <c r="M48" s="86"/>
      <c r="N48" s="86"/>
      <c r="O48" s="86"/>
      <c r="P48" s="75"/>
      <c r="Q48" s="89"/>
      <c r="R48" s="86"/>
      <c r="S48" s="86"/>
      <c r="T48" s="86"/>
      <c r="U48" s="87"/>
      <c r="V48" s="88"/>
      <c r="W48" s="86"/>
      <c r="X48" s="86"/>
      <c r="Y48" s="86"/>
      <c r="Z48" s="75"/>
      <c r="AA48" s="89"/>
      <c r="AB48" s="86"/>
      <c r="AC48" s="86"/>
      <c r="AD48" s="75"/>
      <c r="AE48" s="87"/>
      <c r="AF48" s="57" t="str">
        <f t="shared" si="0"/>
        <v/>
      </c>
      <c r="AG48" s="58" t="str">
        <f>IF(B48="","",$AJ$117-AF48)</f>
        <v/>
      </c>
      <c r="AH48" s="147"/>
      <c r="AI48" s="148"/>
      <c r="AJ48" s="148"/>
      <c r="AK48" s="148"/>
      <c r="AL48" s="148"/>
      <c r="AM48" s="149"/>
    </row>
    <row r="49" spans="1:39" ht="21.9" customHeight="1" x14ac:dyDescent="0.35">
      <c r="A49" s="99">
        <v>37</v>
      </c>
      <c r="B49" s="126"/>
      <c r="C49" s="120"/>
      <c r="D49" s="120"/>
      <c r="E49" s="120"/>
      <c r="F49" s="120"/>
      <c r="G49" s="84"/>
      <c r="H49" s="85"/>
      <c r="I49" s="86"/>
      <c r="J49" s="86"/>
      <c r="K49" s="87"/>
      <c r="L49" s="88"/>
      <c r="M49" s="86"/>
      <c r="N49" s="86"/>
      <c r="O49" s="86"/>
      <c r="P49" s="75"/>
      <c r="Q49" s="89"/>
      <c r="R49" s="86"/>
      <c r="S49" s="86"/>
      <c r="T49" s="86"/>
      <c r="U49" s="87"/>
      <c r="V49" s="88"/>
      <c r="W49" s="86"/>
      <c r="X49" s="86"/>
      <c r="Y49" s="86"/>
      <c r="Z49" s="75"/>
      <c r="AA49" s="89"/>
      <c r="AB49" s="86"/>
      <c r="AC49" s="86"/>
      <c r="AD49" s="75"/>
      <c r="AE49" s="87"/>
      <c r="AF49" s="57" t="str">
        <f t="shared" si="0"/>
        <v/>
      </c>
      <c r="AG49" s="58" t="str">
        <f>IF(B49="","",$AJ$117-AF49)</f>
        <v/>
      </c>
      <c r="AH49" s="147"/>
      <c r="AI49" s="148"/>
      <c r="AJ49" s="148"/>
      <c r="AK49" s="148"/>
      <c r="AL49" s="148"/>
      <c r="AM49" s="149"/>
    </row>
    <row r="50" spans="1:39" ht="21.9" customHeight="1" x14ac:dyDescent="0.35">
      <c r="A50" s="99">
        <v>38</v>
      </c>
      <c r="B50" s="126"/>
      <c r="C50" s="120"/>
      <c r="D50" s="120"/>
      <c r="E50" s="120"/>
      <c r="F50" s="120"/>
      <c r="G50" s="84"/>
      <c r="H50" s="85"/>
      <c r="I50" s="86"/>
      <c r="J50" s="86"/>
      <c r="K50" s="87"/>
      <c r="L50" s="88"/>
      <c r="M50" s="86"/>
      <c r="N50" s="86"/>
      <c r="O50" s="86"/>
      <c r="P50" s="75"/>
      <c r="Q50" s="89"/>
      <c r="R50" s="86"/>
      <c r="S50" s="86"/>
      <c r="T50" s="86"/>
      <c r="U50" s="87"/>
      <c r="V50" s="88"/>
      <c r="W50" s="86"/>
      <c r="X50" s="86"/>
      <c r="Y50" s="86"/>
      <c r="Z50" s="75"/>
      <c r="AA50" s="89"/>
      <c r="AB50" s="86"/>
      <c r="AC50" s="86"/>
      <c r="AD50" s="75"/>
      <c r="AE50" s="87"/>
      <c r="AF50" s="57" t="str">
        <f t="shared" si="0"/>
        <v/>
      </c>
      <c r="AG50" s="58" t="str">
        <f>IF(B50="","",$AJ$117-AF50)</f>
        <v/>
      </c>
      <c r="AH50" s="147"/>
      <c r="AI50" s="148"/>
      <c r="AJ50" s="148"/>
      <c r="AK50" s="148"/>
      <c r="AL50" s="148"/>
      <c r="AM50" s="149"/>
    </row>
    <row r="51" spans="1:39" ht="21.9" customHeight="1" x14ac:dyDescent="0.35">
      <c r="A51" s="99">
        <v>39</v>
      </c>
      <c r="B51" s="126"/>
      <c r="C51" s="120"/>
      <c r="D51" s="120"/>
      <c r="E51" s="120"/>
      <c r="F51" s="120"/>
      <c r="G51" s="84"/>
      <c r="H51" s="85"/>
      <c r="I51" s="86"/>
      <c r="J51" s="86"/>
      <c r="K51" s="87"/>
      <c r="L51" s="88"/>
      <c r="M51" s="86"/>
      <c r="N51" s="86"/>
      <c r="O51" s="86"/>
      <c r="P51" s="75"/>
      <c r="Q51" s="89"/>
      <c r="R51" s="86"/>
      <c r="S51" s="86"/>
      <c r="T51" s="86"/>
      <c r="U51" s="87"/>
      <c r="V51" s="88"/>
      <c r="W51" s="86"/>
      <c r="X51" s="86"/>
      <c r="Y51" s="86"/>
      <c r="Z51" s="75"/>
      <c r="AA51" s="89"/>
      <c r="AB51" s="86"/>
      <c r="AC51" s="86"/>
      <c r="AD51" s="75"/>
      <c r="AE51" s="87"/>
      <c r="AF51" s="57" t="str">
        <f t="shared" si="0"/>
        <v/>
      </c>
      <c r="AG51" s="58" t="str">
        <f>IF(B51="","",$AJ$117-AF51)</f>
        <v/>
      </c>
      <c r="AH51" s="147"/>
      <c r="AI51" s="148"/>
      <c r="AJ51" s="148"/>
      <c r="AK51" s="148"/>
      <c r="AL51" s="148"/>
      <c r="AM51" s="149"/>
    </row>
    <row r="52" spans="1:39" ht="21.9" customHeight="1" x14ac:dyDescent="0.35">
      <c r="A52" s="99">
        <v>40</v>
      </c>
      <c r="B52" s="126"/>
      <c r="C52" s="120"/>
      <c r="D52" s="120"/>
      <c r="E52" s="120"/>
      <c r="F52" s="120"/>
      <c r="G52" s="84"/>
      <c r="H52" s="85"/>
      <c r="I52" s="86"/>
      <c r="J52" s="86"/>
      <c r="K52" s="87"/>
      <c r="L52" s="88"/>
      <c r="M52" s="86"/>
      <c r="N52" s="86"/>
      <c r="O52" s="86"/>
      <c r="P52" s="75"/>
      <c r="Q52" s="89"/>
      <c r="R52" s="86"/>
      <c r="S52" s="86"/>
      <c r="T52" s="86"/>
      <c r="U52" s="87"/>
      <c r="V52" s="88"/>
      <c r="W52" s="86"/>
      <c r="X52" s="86"/>
      <c r="Y52" s="86"/>
      <c r="Z52" s="75"/>
      <c r="AA52" s="89"/>
      <c r="AB52" s="86"/>
      <c r="AC52" s="86"/>
      <c r="AD52" s="75"/>
      <c r="AE52" s="87"/>
      <c r="AF52" s="57" t="str">
        <f t="shared" si="0"/>
        <v/>
      </c>
      <c r="AG52" s="58" t="str">
        <f>IF(B52="","",$AJ$117-AF52)</f>
        <v/>
      </c>
      <c r="AH52" s="147"/>
      <c r="AI52" s="148"/>
      <c r="AJ52" s="148"/>
      <c r="AK52" s="148"/>
      <c r="AL52" s="148"/>
      <c r="AM52" s="149"/>
    </row>
    <row r="53" spans="1:39" ht="21.9" customHeight="1" x14ac:dyDescent="0.35">
      <c r="A53" s="99">
        <v>41</v>
      </c>
      <c r="B53" s="126"/>
      <c r="C53" s="120"/>
      <c r="D53" s="120"/>
      <c r="E53" s="120"/>
      <c r="F53" s="120"/>
      <c r="G53" s="84"/>
      <c r="H53" s="85"/>
      <c r="I53" s="86"/>
      <c r="J53" s="86"/>
      <c r="K53" s="87"/>
      <c r="L53" s="88"/>
      <c r="M53" s="86"/>
      <c r="N53" s="86"/>
      <c r="O53" s="86"/>
      <c r="P53" s="75"/>
      <c r="Q53" s="89"/>
      <c r="R53" s="86"/>
      <c r="S53" s="86"/>
      <c r="T53" s="86"/>
      <c r="U53" s="87"/>
      <c r="V53" s="88"/>
      <c r="W53" s="86"/>
      <c r="X53" s="86"/>
      <c r="Y53" s="86"/>
      <c r="Z53" s="75"/>
      <c r="AA53" s="89"/>
      <c r="AB53" s="86"/>
      <c r="AC53" s="86"/>
      <c r="AD53" s="75"/>
      <c r="AE53" s="87"/>
      <c r="AF53" s="57" t="str">
        <f t="shared" si="0"/>
        <v/>
      </c>
      <c r="AG53" s="58" t="str">
        <f>IF(B53="","",$AJ$117-AF53)</f>
        <v/>
      </c>
      <c r="AH53" s="147"/>
      <c r="AI53" s="148"/>
      <c r="AJ53" s="148"/>
      <c r="AK53" s="148"/>
      <c r="AL53" s="148"/>
      <c r="AM53" s="149"/>
    </row>
    <row r="54" spans="1:39" ht="21.9" customHeight="1" x14ac:dyDescent="0.35">
      <c r="A54" s="99">
        <v>42</v>
      </c>
      <c r="B54" s="126"/>
      <c r="C54" s="120"/>
      <c r="D54" s="120"/>
      <c r="E54" s="120"/>
      <c r="F54" s="120"/>
      <c r="G54" s="84"/>
      <c r="H54" s="85"/>
      <c r="I54" s="86"/>
      <c r="J54" s="86"/>
      <c r="K54" s="87"/>
      <c r="L54" s="88"/>
      <c r="M54" s="86"/>
      <c r="N54" s="86"/>
      <c r="O54" s="86"/>
      <c r="P54" s="75"/>
      <c r="Q54" s="89"/>
      <c r="R54" s="86"/>
      <c r="S54" s="86"/>
      <c r="T54" s="86"/>
      <c r="U54" s="87"/>
      <c r="V54" s="88"/>
      <c r="W54" s="86"/>
      <c r="X54" s="86"/>
      <c r="Y54" s="86"/>
      <c r="Z54" s="75"/>
      <c r="AA54" s="89"/>
      <c r="AB54" s="86"/>
      <c r="AC54" s="86"/>
      <c r="AD54" s="75"/>
      <c r="AE54" s="87"/>
      <c r="AF54" s="57" t="str">
        <f t="shared" si="0"/>
        <v/>
      </c>
      <c r="AG54" s="58" t="str">
        <f>IF(B54="","",$AJ$117-AF54)</f>
        <v/>
      </c>
      <c r="AH54" s="147"/>
      <c r="AI54" s="148"/>
      <c r="AJ54" s="148"/>
      <c r="AK54" s="148"/>
      <c r="AL54" s="148"/>
      <c r="AM54" s="149"/>
    </row>
    <row r="55" spans="1:39" ht="21.9" customHeight="1" x14ac:dyDescent="0.35">
      <c r="A55" s="99">
        <v>43</v>
      </c>
      <c r="B55" s="127"/>
      <c r="C55" s="115"/>
      <c r="D55" s="115"/>
      <c r="E55" s="115"/>
      <c r="F55" s="115"/>
      <c r="G55" s="89"/>
      <c r="H55" s="86"/>
      <c r="I55" s="86"/>
      <c r="J55" s="86"/>
      <c r="K55" s="87"/>
      <c r="L55" s="88"/>
      <c r="M55" s="86"/>
      <c r="N55" s="86"/>
      <c r="O55" s="86"/>
      <c r="P55" s="75"/>
      <c r="Q55" s="89"/>
      <c r="R55" s="86"/>
      <c r="S55" s="86"/>
      <c r="T55" s="86"/>
      <c r="U55" s="87"/>
      <c r="V55" s="88"/>
      <c r="W55" s="86"/>
      <c r="X55" s="86"/>
      <c r="Y55" s="86"/>
      <c r="Z55" s="75"/>
      <c r="AA55" s="89"/>
      <c r="AB55" s="86"/>
      <c r="AC55" s="86"/>
      <c r="AD55" s="75"/>
      <c r="AE55" s="87"/>
      <c r="AF55" s="57" t="str">
        <f t="shared" si="0"/>
        <v/>
      </c>
      <c r="AG55" s="58" t="str">
        <f>IF(B55="","",$AJ$117-AF55)</f>
        <v/>
      </c>
      <c r="AH55" s="147"/>
      <c r="AI55" s="148"/>
      <c r="AJ55" s="148"/>
      <c r="AK55" s="148"/>
      <c r="AL55" s="148"/>
      <c r="AM55" s="149"/>
    </row>
    <row r="56" spans="1:39" ht="21.9" customHeight="1" x14ac:dyDescent="0.35">
      <c r="A56" s="99">
        <v>44</v>
      </c>
      <c r="B56" s="127"/>
      <c r="C56" s="115"/>
      <c r="D56" s="115"/>
      <c r="E56" s="115"/>
      <c r="F56" s="115"/>
      <c r="G56" s="89"/>
      <c r="H56" s="86"/>
      <c r="I56" s="86"/>
      <c r="J56" s="86"/>
      <c r="K56" s="87"/>
      <c r="L56" s="88"/>
      <c r="M56" s="86"/>
      <c r="N56" s="86"/>
      <c r="O56" s="86"/>
      <c r="P56" s="75"/>
      <c r="Q56" s="89"/>
      <c r="R56" s="86"/>
      <c r="S56" s="86"/>
      <c r="T56" s="86"/>
      <c r="U56" s="87"/>
      <c r="V56" s="88"/>
      <c r="W56" s="86"/>
      <c r="X56" s="86"/>
      <c r="Y56" s="86"/>
      <c r="Z56" s="75"/>
      <c r="AA56" s="89"/>
      <c r="AB56" s="86"/>
      <c r="AC56" s="86"/>
      <c r="AD56" s="75"/>
      <c r="AE56" s="87"/>
      <c r="AF56" s="57" t="str">
        <f t="shared" si="0"/>
        <v/>
      </c>
      <c r="AG56" s="58" t="str">
        <f>IF(B56="","",$AJ$117-AF56)</f>
        <v/>
      </c>
      <c r="AH56" s="147"/>
      <c r="AI56" s="148"/>
      <c r="AJ56" s="148"/>
      <c r="AK56" s="148"/>
      <c r="AL56" s="148"/>
      <c r="AM56" s="149"/>
    </row>
    <row r="57" spans="1:39" ht="21.9" customHeight="1" x14ac:dyDescent="0.35">
      <c r="A57" s="99">
        <v>45</v>
      </c>
      <c r="B57" s="127"/>
      <c r="C57" s="115"/>
      <c r="D57" s="115"/>
      <c r="E57" s="115"/>
      <c r="F57" s="115"/>
      <c r="G57" s="89"/>
      <c r="H57" s="86"/>
      <c r="I57" s="86"/>
      <c r="J57" s="86"/>
      <c r="K57" s="87"/>
      <c r="L57" s="88"/>
      <c r="M57" s="86"/>
      <c r="N57" s="86"/>
      <c r="O57" s="86"/>
      <c r="P57" s="75"/>
      <c r="Q57" s="89"/>
      <c r="R57" s="86"/>
      <c r="S57" s="86"/>
      <c r="T57" s="86"/>
      <c r="U57" s="87"/>
      <c r="V57" s="88"/>
      <c r="W57" s="86"/>
      <c r="X57" s="86"/>
      <c r="Y57" s="86"/>
      <c r="Z57" s="75"/>
      <c r="AA57" s="89"/>
      <c r="AB57" s="86"/>
      <c r="AC57" s="86"/>
      <c r="AD57" s="75"/>
      <c r="AE57" s="87"/>
      <c r="AF57" s="57" t="str">
        <f t="shared" si="0"/>
        <v/>
      </c>
      <c r="AG57" s="58" t="str">
        <f>IF(B57="","",$AJ$117-AF57)</f>
        <v/>
      </c>
      <c r="AH57" s="147"/>
      <c r="AI57" s="148"/>
      <c r="AJ57" s="148"/>
      <c r="AK57" s="148"/>
      <c r="AL57" s="148"/>
      <c r="AM57" s="149"/>
    </row>
    <row r="58" spans="1:39" ht="21.9" customHeight="1" x14ac:dyDescent="0.35">
      <c r="A58" s="99">
        <v>46</v>
      </c>
      <c r="B58" s="127"/>
      <c r="C58" s="115"/>
      <c r="D58" s="115"/>
      <c r="E58" s="115"/>
      <c r="F58" s="115"/>
      <c r="G58" s="89"/>
      <c r="H58" s="86"/>
      <c r="I58" s="86"/>
      <c r="J58" s="86"/>
      <c r="K58" s="87"/>
      <c r="L58" s="88"/>
      <c r="M58" s="86"/>
      <c r="N58" s="86"/>
      <c r="O58" s="86"/>
      <c r="P58" s="75"/>
      <c r="Q58" s="89"/>
      <c r="R58" s="86"/>
      <c r="S58" s="86"/>
      <c r="T58" s="86"/>
      <c r="U58" s="87"/>
      <c r="V58" s="88"/>
      <c r="W58" s="86"/>
      <c r="X58" s="86"/>
      <c r="Y58" s="86"/>
      <c r="Z58" s="75"/>
      <c r="AA58" s="89"/>
      <c r="AB58" s="86"/>
      <c r="AC58" s="86"/>
      <c r="AD58" s="75"/>
      <c r="AE58" s="87"/>
      <c r="AF58" s="57" t="str">
        <f t="shared" si="0"/>
        <v/>
      </c>
      <c r="AG58" s="58" t="str">
        <f>IF(B58="","",$AJ$117-AF58)</f>
        <v/>
      </c>
      <c r="AH58" s="147"/>
      <c r="AI58" s="148"/>
      <c r="AJ58" s="148"/>
      <c r="AK58" s="148"/>
      <c r="AL58" s="148"/>
      <c r="AM58" s="149"/>
    </row>
    <row r="59" spans="1:39" ht="21.9" customHeight="1" x14ac:dyDescent="0.35">
      <c r="A59" s="99">
        <v>47</v>
      </c>
      <c r="B59" s="127"/>
      <c r="C59" s="121"/>
      <c r="D59" s="121"/>
      <c r="E59" s="121"/>
      <c r="F59" s="121"/>
      <c r="G59" s="90"/>
      <c r="H59" s="91"/>
      <c r="I59" s="91"/>
      <c r="J59" s="91"/>
      <c r="K59" s="92"/>
      <c r="L59" s="93"/>
      <c r="M59" s="91"/>
      <c r="N59" s="91"/>
      <c r="O59" s="91"/>
      <c r="P59" s="76"/>
      <c r="Q59" s="90"/>
      <c r="R59" s="91"/>
      <c r="S59" s="91"/>
      <c r="T59" s="91"/>
      <c r="U59" s="92"/>
      <c r="V59" s="93"/>
      <c r="W59" s="91"/>
      <c r="X59" s="91"/>
      <c r="Y59" s="91"/>
      <c r="Z59" s="76"/>
      <c r="AA59" s="90"/>
      <c r="AB59" s="91"/>
      <c r="AC59" s="91"/>
      <c r="AD59" s="76"/>
      <c r="AE59" s="92"/>
      <c r="AF59" s="57" t="str">
        <f t="shared" si="0"/>
        <v/>
      </c>
      <c r="AG59" s="58" t="str">
        <f>IF(B59="","",$AJ$117-AF59)</f>
        <v/>
      </c>
      <c r="AH59" s="147"/>
      <c r="AI59" s="148"/>
      <c r="AJ59" s="148"/>
      <c r="AK59" s="148"/>
      <c r="AL59" s="148"/>
      <c r="AM59" s="149"/>
    </row>
    <row r="60" spans="1:39" ht="21.9" customHeight="1" x14ac:dyDescent="0.35">
      <c r="A60" s="99">
        <v>48</v>
      </c>
      <c r="B60" s="127"/>
      <c r="C60" s="121"/>
      <c r="D60" s="121"/>
      <c r="E60" s="121"/>
      <c r="F60" s="121"/>
      <c r="G60" s="90"/>
      <c r="H60" s="91"/>
      <c r="I60" s="91"/>
      <c r="J60" s="91"/>
      <c r="K60" s="92"/>
      <c r="L60" s="93"/>
      <c r="M60" s="91"/>
      <c r="N60" s="91"/>
      <c r="O60" s="91"/>
      <c r="P60" s="76"/>
      <c r="Q60" s="90"/>
      <c r="R60" s="91"/>
      <c r="S60" s="91"/>
      <c r="T60" s="91"/>
      <c r="U60" s="92"/>
      <c r="V60" s="93"/>
      <c r="W60" s="91"/>
      <c r="X60" s="91"/>
      <c r="Y60" s="91"/>
      <c r="Z60" s="76"/>
      <c r="AA60" s="90"/>
      <c r="AB60" s="91"/>
      <c r="AC60" s="91"/>
      <c r="AD60" s="76"/>
      <c r="AE60" s="92"/>
      <c r="AF60" s="57" t="str">
        <f t="shared" si="0"/>
        <v/>
      </c>
      <c r="AG60" s="58" t="str">
        <f>IF(B60="","",$AJ$117-AF60)</f>
        <v/>
      </c>
      <c r="AH60" s="147"/>
      <c r="AI60" s="148"/>
      <c r="AJ60" s="148"/>
      <c r="AK60" s="148"/>
      <c r="AL60" s="148"/>
      <c r="AM60" s="149"/>
    </row>
    <row r="61" spans="1:39" ht="21.9" customHeight="1" x14ac:dyDescent="0.35">
      <c r="A61" s="99">
        <v>49</v>
      </c>
      <c r="B61" s="127"/>
      <c r="C61" s="121"/>
      <c r="D61" s="121"/>
      <c r="E61" s="121"/>
      <c r="F61" s="121"/>
      <c r="G61" s="90"/>
      <c r="H61" s="91"/>
      <c r="I61" s="91"/>
      <c r="J61" s="91"/>
      <c r="K61" s="92"/>
      <c r="L61" s="93"/>
      <c r="M61" s="91"/>
      <c r="N61" s="91"/>
      <c r="O61" s="91"/>
      <c r="P61" s="76"/>
      <c r="Q61" s="90"/>
      <c r="R61" s="91"/>
      <c r="S61" s="91"/>
      <c r="T61" s="91"/>
      <c r="U61" s="92"/>
      <c r="V61" s="93"/>
      <c r="W61" s="91"/>
      <c r="X61" s="91"/>
      <c r="Y61" s="91"/>
      <c r="Z61" s="76"/>
      <c r="AA61" s="90"/>
      <c r="AB61" s="91"/>
      <c r="AC61" s="91"/>
      <c r="AD61" s="76"/>
      <c r="AE61" s="92"/>
      <c r="AF61" s="57" t="str">
        <f t="shared" si="0"/>
        <v/>
      </c>
      <c r="AG61" s="58" t="str">
        <f>IF(B61="","",$AJ$117-AF61)</f>
        <v/>
      </c>
      <c r="AH61" s="147"/>
      <c r="AI61" s="148"/>
      <c r="AJ61" s="148"/>
      <c r="AK61" s="148"/>
      <c r="AL61" s="148"/>
      <c r="AM61" s="149"/>
    </row>
    <row r="62" spans="1:39" ht="21.9" customHeight="1" thickBot="1" x14ac:dyDescent="0.4">
      <c r="A62" s="90">
        <v>50</v>
      </c>
      <c r="B62" s="128"/>
      <c r="C62" s="121"/>
      <c r="D62" s="121"/>
      <c r="E62" s="121"/>
      <c r="F62" s="121"/>
      <c r="G62" s="90"/>
      <c r="H62" s="91"/>
      <c r="I62" s="91"/>
      <c r="J62" s="91"/>
      <c r="K62" s="92"/>
      <c r="L62" s="93"/>
      <c r="M62" s="91"/>
      <c r="N62" s="91"/>
      <c r="O62" s="91"/>
      <c r="P62" s="76"/>
      <c r="Q62" s="90"/>
      <c r="R62" s="91"/>
      <c r="S62" s="91"/>
      <c r="T62" s="91"/>
      <c r="U62" s="92"/>
      <c r="V62" s="93"/>
      <c r="W62" s="91"/>
      <c r="X62" s="91"/>
      <c r="Y62" s="91"/>
      <c r="Z62" s="76"/>
      <c r="AA62" s="90"/>
      <c r="AB62" s="91"/>
      <c r="AC62" s="91"/>
      <c r="AD62" s="76"/>
      <c r="AE62" s="92"/>
      <c r="AF62" s="57" t="str">
        <f t="shared" si="0"/>
        <v/>
      </c>
      <c r="AG62" s="58" t="str">
        <f>IF(B62="","",$AJ$117-AF62)</f>
        <v/>
      </c>
      <c r="AH62" s="147"/>
      <c r="AI62" s="148"/>
      <c r="AJ62" s="171"/>
      <c r="AK62" s="171"/>
      <c r="AL62" s="171"/>
      <c r="AM62" s="172"/>
    </row>
    <row r="63" spans="1:39" ht="21.9" customHeight="1" thickBot="1" x14ac:dyDescent="0.4">
      <c r="A63" s="111"/>
      <c r="B63" s="108" t="s">
        <v>60</v>
      </c>
      <c r="C63" s="108"/>
      <c r="D63" s="108"/>
      <c r="E63" s="108"/>
      <c r="F63" s="108"/>
      <c r="G63" s="65">
        <f>IF(G10="","",COUNTA($B$13:$B$62)-(COUNTIF(G13:G62,"x")*1 + COUNTIF(G13:G62,"h")*0.5))</f>
        <v>0</v>
      </c>
      <c r="H63" s="66">
        <f>IF(H10="","",COUNTA($B$13:$B$62)-(COUNTIF(H13:H62,"x")*1 + COUNTIF(H13:H62,"h")*0.5))</f>
        <v>0</v>
      </c>
      <c r="I63" s="66">
        <f>IF(I10="","",COUNTA($B$13:$B$62)-(COUNTIF(I13:I62,"x")*1 + COUNTIF(I13:I62,"h")*0.5))</f>
        <v>0</v>
      </c>
      <c r="J63" s="66">
        <f>IF(J10="","",COUNTA($B$13:$B$62)-(COUNTIF(J13:J62,"x")*1 + COUNTIF(J13:J62,"h")*0.5))</f>
        <v>0</v>
      </c>
      <c r="K63" s="67">
        <f>IF(K10="","",COUNTA($B$13:$B$62)-(COUNTIF(K13:K62,"x")*1 + COUNTIF(K13:K62,"h")*0.5))</f>
        <v>0</v>
      </c>
      <c r="L63" s="65">
        <f>IF(L10="","",COUNTA($B$13:$B$62)-(COUNTIF(L13:L62,"x")*1 + COUNTIF(L13:L62,"h")*0.5))</f>
        <v>0</v>
      </c>
      <c r="M63" s="66">
        <f>IF(M10="","",COUNTA($B$13:$B$62)-(COUNTIF(M13:M62,"x")*1 + COUNTIF(M13:M62,"h")*0.5))</f>
        <v>0</v>
      </c>
      <c r="N63" s="66">
        <f>IF(N10="","",COUNTA($B$13:$B$62)-(COUNTIF(N13:N62,"x")*1 + COUNTIF(N13:N62,"h")*0.5))</f>
        <v>0</v>
      </c>
      <c r="O63" s="66">
        <f>IF(O10="","",COUNTA($B$13:$B$62)-(COUNTIF(O13:O62,"x")*1 + COUNTIF(O13:O62,"h")*0.5))</f>
        <v>0</v>
      </c>
      <c r="P63" s="67">
        <f>IF(P10="","",COUNTA($B$13:$B$62)-(COUNTIF(P13:P62,"x")*1 + COUNTIF(P13:P62,"h")*0.5))</f>
        <v>0</v>
      </c>
      <c r="Q63" s="65">
        <f>IF(Q10="","",COUNTA($B$13:$B$62)-(COUNTIF(Q13:Q62,"x")*1 + COUNTIF(Q13:Q62,"h")*0.5))</f>
        <v>0</v>
      </c>
      <c r="R63" s="66">
        <f>IF(R10="","",COUNTA($B$13:$B$62)-(COUNTIF(R13:R62,"x")*1 + COUNTIF(R13:R62,"h")*0.5))</f>
        <v>0</v>
      </c>
      <c r="S63" s="66">
        <f>IF(S10="","",COUNTA($B$13:$B$62)-(COUNTIF(S13:S62,"x")*1 + COUNTIF(S13:S62,"h")*0.5))</f>
        <v>0</v>
      </c>
      <c r="T63" s="66">
        <f>IF(T10="","",COUNTA($B$13:$B$62)-(COUNTIF(T13:T62,"x")*1 + COUNTIF(T13:T62,"h")*0.5))</f>
        <v>0</v>
      </c>
      <c r="U63" s="67">
        <f>IF(U10="","",COUNTA($B$13:$B$62)-(COUNTIF(U13:U62,"x")*1 + COUNTIF(U13:U62,"h")*0.5))</f>
        <v>0</v>
      </c>
      <c r="V63" s="65">
        <f>IF(V10="","",COUNTA($B$13:$B$62)-(COUNTIF(V13:V62,"x")*1 + COUNTIF(V13:V62,"h")*0.5))</f>
        <v>0</v>
      </c>
      <c r="W63" s="66">
        <f>IF(W10="","",COUNTA($B$13:$B$62)-(COUNTIF(W13:W62,"x")*1 + COUNTIF(W13:W62,"h")*0.5))</f>
        <v>0</v>
      </c>
      <c r="X63" s="66">
        <f>IF(X10="","",COUNTA($B$13:$B$62)-(COUNTIF(X13:X62,"x")*1 + COUNTIF(X13:X62,"h")*0.5))</f>
        <v>0</v>
      </c>
      <c r="Y63" s="66">
        <f>IF(Y10="","",COUNTA($B$13:$B$62)-(COUNTIF(Y13:Y62,"x")*1 + COUNTIF(Y13:Y62,"h")*0.5))</f>
        <v>0</v>
      </c>
      <c r="Z63" s="67">
        <f>IF(Z10="","",COUNTA($B$13:$B$62)-(COUNTIF(Z13:Z62,"x")*1 + COUNTIF(Z13:Z62,"h")*0.5))</f>
        <v>0</v>
      </c>
      <c r="AA63" s="65">
        <f>IF(AA10="","",COUNTA($B$13:$B$62)-(COUNTIF(AA13:AA62,"x")*1 + COUNTIF(AA13:AA62,"h")*0.5))</f>
        <v>0</v>
      </c>
      <c r="AB63" s="66">
        <f>IF(AB10="","",COUNTA($B$13:$B$62)-(COUNTIF(AB13:AB62,"x")*1 + COUNTIF(AB13:AB62,"h")*0.5))</f>
        <v>0</v>
      </c>
      <c r="AC63" s="66" t="str">
        <f>IF(AC10="","",COUNTA($B$13:$B$62)-(COUNTIF(AC13:AC62,"x")*1 + COUNTIF(AC13:AC62,"h")*0.5))</f>
        <v/>
      </c>
      <c r="AD63" s="66" t="str">
        <f>IF(AD10="","",COUNTA($B$13:$B$62)-(COUNTIF(AD13:AD62,"x")*1 + COUNTIF(AD13:AD62,"h")*0.5))</f>
        <v/>
      </c>
      <c r="AE63" s="67" t="str">
        <f>IF(AE10="","",COUNTA($B$13:$B$62)-(COUNTIF(AE13:AE62,"x")*1 + COUNTIF(AE13:AE62,"h")*0.5))</f>
        <v/>
      </c>
      <c r="AF63" s="59">
        <f>SUM(AF13:AF62)</f>
        <v>0</v>
      </c>
      <c r="AG63" s="60">
        <f>SUM(AG13:AG62)</f>
        <v>0</v>
      </c>
      <c r="AH63" s="68"/>
      <c r="AI63" s="69"/>
      <c r="AJ63" s="69"/>
      <c r="AK63" s="69"/>
      <c r="AL63" s="69"/>
      <c r="AM63" s="70"/>
    </row>
    <row r="64" spans="1:39" ht="21.9" customHeight="1" x14ac:dyDescent="0.35">
      <c r="A64" s="99">
        <v>1</v>
      </c>
      <c r="B64" s="125"/>
      <c r="C64" s="122"/>
      <c r="D64" s="122"/>
      <c r="E64" s="122"/>
      <c r="F64" s="122"/>
      <c r="G64" s="94"/>
      <c r="H64" s="78"/>
      <c r="I64" s="79"/>
      <c r="J64" s="79"/>
      <c r="K64" s="95"/>
      <c r="L64" s="96"/>
      <c r="M64" s="97"/>
      <c r="N64" s="97"/>
      <c r="O64" s="97"/>
      <c r="P64" s="98"/>
      <c r="Q64" s="99"/>
      <c r="R64" s="97"/>
      <c r="S64" s="97"/>
      <c r="T64" s="97"/>
      <c r="U64" s="95"/>
      <c r="V64" s="96"/>
      <c r="W64" s="97"/>
      <c r="X64" s="97"/>
      <c r="Y64" s="97"/>
      <c r="Z64" s="98"/>
      <c r="AA64" s="99"/>
      <c r="AB64" s="97"/>
      <c r="AC64" s="97"/>
      <c r="AD64" s="98"/>
      <c r="AE64" s="95"/>
      <c r="AF64" s="55" t="str">
        <f t="shared" ref="AF64:AF113" si="1">IF(B64="","",COUNTIF(G64:AE64,"x") + COUNTIF(G64:AE64,"h")*0.5)</f>
        <v/>
      </c>
      <c r="AG64" s="56" t="str">
        <f>IF(B64="","",$AJ$117-AF64)</f>
        <v/>
      </c>
      <c r="AH64" s="150"/>
      <c r="AI64" s="151"/>
      <c r="AJ64" s="151"/>
      <c r="AK64" s="151"/>
      <c r="AL64" s="151"/>
      <c r="AM64" s="152"/>
    </row>
    <row r="65" spans="1:39" ht="21.9" customHeight="1" x14ac:dyDescent="0.35">
      <c r="A65" s="89">
        <v>2</v>
      </c>
      <c r="B65" s="129"/>
      <c r="C65" s="123"/>
      <c r="D65" s="123"/>
      <c r="E65" s="123"/>
      <c r="F65" s="123"/>
      <c r="G65" s="100"/>
      <c r="H65" s="101"/>
      <c r="I65" s="86"/>
      <c r="J65" s="86"/>
      <c r="K65" s="87"/>
      <c r="L65" s="88"/>
      <c r="M65" s="86"/>
      <c r="N65" s="86"/>
      <c r="O65" s="86"/>
      <c r="P65" s="75"/>
      <c r="Q65" s="89"/>
      <c r="R65" s="86"/>
      <c r="S65" s="86"/>
      <c r="T65" s="86"/>
      <c r="U65" s="87"/>
      <c r="V65" s="88"/>
      <c r="W65" s="86"/>
      <c r="X65" s="86"/>
      <c r="Y65" s="86"/>
      <c r="Z65" s="75"/>
      <c r="AA65" s="89"/>
      <c r="AB65" s="86"/>
      <c r="AC65" s="86"/>
      <c r="AD65" s="75"/>
      <c r="AE65" s="87"/>
      <c r="AF65" s="57" t="str">
        <f t="shared" si="1"/>
        <v/>
      </c>
      <c r="AG65" s="58" t="str">
        <f>IF(B65="","",$AJ$117-AF65)</f>
        <v/>
      </c>
      <c r="AH65" s="147"/>
      <c r="AI65" s="148"/>
      <c r="AJ65" s="148"/>
      <c r="AK65" s="148"/>
      <c r="AL65" s="148"/>
      <c r="AM65" s="149"/>
    </row>
    <row r="66" spans="1:39" ht="21.9" customHeight="1" x14ac:dyDescent="0.35">
      <c r="A66" s="89">
        <v>3</v>
      </c>
      <c r="B66" s="129"/>
      <c r="C66" s="123"/>
      <c r="D66" s="123"/>
      <c r="E66" s="123"/>
      <c r="F66" s="123"/>
      <c r="G66" s="100"/>
      <c r="H66" s="101"/>
      <c r="I66" s="86"/>
      <c r="J66" s="86"/>
      <c r="K66" s="87"/>
      <c r="L66" s="88"/>
      <c r="M66" s="86"/>
      <c r="N66" s="86"/>
      <c r="O66" s="86"/>
      <c r="P66" s="75"/>
      <c r="Q66" s="89"/>
      <c r="R66" s="86"/>
      <c r="S66" s="86"/>
      <c r="T66" s="86"/>
      <c r="U66" s="87"/>
      <c r="V66" s="88"/>
      <c r="W66" s="86"/>
      <c r="X66" s="86"/>
      <c r="Y66" s="86"/>
      <c r="Z66" s="75"/>
      <c r="AA66" s="89"/>
      <c r="AB66" s="86"/>
      <c r="AC66" s="86"/>
      <c r="AD66" s="75"/>
      <c r="AE66" s="87"/>
      <c r="AF66" s="57" t="str">
        <f t="shared" si="1"/>
        <v/>
      </c>
      <c r="AG66" s="58" t="str">
        <f>IF(B66="","",$AJ$117-AF66)</f>
        <v/>
      </c>
      <c r="AH66" s="147"/>
      <c r="AI66" s="148"/>
      <c r="AJ66" s="148"/>
      <c r="AK66" s="148"/>
      <c r="AL66" s="148"/>
      <c r="AM66" s="149"/>
    </row>
    <row r="67" spans="1:39" ht="21.9" customHeight="1" x14ac:dyDescent="0.35">
      <c r="A67" s="89">
        <v>4</v>
      </c>
      <c r="B67" s="129"/>
      <c r="C67" s="123"/>
      <c r="D67" s="123"/>
      <c r="E67" s="123"/>
      <c r="F67" s="123"/>
      <c r="G67" s="100"/>
      <c r="H67" s="101"/>
      <c r="I67" s="86"/>
      <c r="J67" s="86"/>
      <c r="K67" s="87"/>
      <c r="L67" s="88"/>
      <c r="M67" s="86"/>
      <c r="N67" s="86"/>
      <c r="O67" s="86"/>
      <c r="P67" s="75"/>
      <c r="Q67" s="89"/>
      <c r="R67" s="86"/>
      <c r="S67" s="86"/>
      <c r="T67" s="86"/>
      <c r="U67" s="87"/>
      <c r="V67" s="88"/>
      <c r="W67" s="86"/>
      <c r="X67" s="86"/>
      <c r="Y67" s="86"/>
      <c r="Z67" s="75"/>
      <c r="AA67" s="89"/>
      <c r="AB67" s="86"/>
      <c r="AC67" s="86"/>
      <c r="AD67" s="75"/>
      <c r="AE67" s="87"/>
      <c r="AF67" s="57" t="str">
        <f t="shared" si="1"/>
        <v/>
      </c>
      <c r="AG67" s="58" t="str">
        <f>IF(B67="","",$AJ$117-AF67)</f>
        <v/>
      </c>
      <c r="AH67" s="147"/>
      <c r="AI67" s="148"/>
      <c r="AJ67" s="148"/>
      <c r="AK67" s="148"/>
      <c r="AL67" s="148"/>
      <c r="AM67" s="149"/>
    </row>
    <row r="68" spans="1:39" ht="21.9" customHeight="1" x14ac:dyDescent="0.35">
      <c r="A68" s="99">
        <v>5</v>
      </c>
      <c r="B68" s="129"/>
      <c r="C68" s="123"/>
      <c r="D68" s="123"/>
      <c r="E68" s="123"/>
      <c r="F68" s="123"/>
      <c r="G68" s="100"/>
      <c r="H68" s="101"/>
      <c r="I68" s="86"/>
      <c r="J68" s="86"/>
      <c r="K68" s="87"/>
      <c r="L68" s="88"/>
      <c r="M68" s="86"/>
      <c r="N68" s="86"/>
      <c r="O68" s="86"/>
      <c r="P68" s="75"/>
      <c r="Q68" s="89"/>
      <c r="R68" s="86"/>
      <c r="S68" s="86"/>
      <c r="T68" s="86"/>
      <c r="U68" s="87"/>
      <c r="V68" s="88"/>
      <c r="W68" s="86"/>
      <c r="X68" s="86"/>
      <c r="Y68" s="86"/>
      <c r="Z68" s="75"/>
      <c r="AA68" s="89"/>
      <c r="AB68" s="86"/>
      <c r="AC68" s="86"/>
      <c r="AD68" s="75"/>
      <c r="AE68" s="87"/>
      <c r="AF68" s="57"/>
      <c r="AG68" s="58"/>
      <c r="AH68" s="147"/>
      <c r="AI68" s="148"/>
      <c r="AJ68" s="115"/>
      <c r="AK68" s="115"/>
      <c r="AL68" s="115"/>
      <c r="AM68" s="118"/>
    </row>
    <row r="69" spans="1:39" ht="21.9" customHeight="1" x14ac:dyDescent="0.35">
      <c r="A69" s="99">
        <v>6</v>
      </c>
      <c r="B69" s="129"/>
      <c r="C69" s="123"/>
      <c r="D69" s="123"/>
      <c r="E69" s="123"/>
      <c r="F69" s="123"/>
      <c r="G69" s="100"/>
      <c r="H69" s="101"/>
      <c r="I69" s="86"/>
      <c r="J69" s="86"/>
      <c r="K69" s="87"/>
      <c r="L69" s="88"/>
      <c r="M69" s="86"/>
      <c r="N69" s="86"/>
      <c r="O69" s="86"/>
      <c r="P69" s="75"/>
      <c r="Q69" s="89"/>
      <c r="R69" s="86"/>
      <c r="S69" s="86"/>
      <c r="T69" s="86"/>
      <c r="U69" s="87"/>
      <c r="V69" s="88"/>
      <c r="W69" s="86"/>
      <c r="X69" s="86"/>
      <c r="Y69" s="86"/>
      <c r="Z69" s="75"/>
      <c r="AA69" s="89"/>
      <c r="AB69" s="86"/>
      <c r="AC69" s="86"/>
      <c r="AD69" s="75"/>
      <c r="AE69" s="87"/>
      <c r="AF69" s="57"/>
      <c r="AG69" s="58"/>
      <c r="AH69" s="147"/>
      <c r="AI69" s="148"/>
      <c r="AJ69" s="115"/>
      <c r="AK69" s="115"/>
      <c r="AL69" s="115"/>
      <c r="AM69" s="118"/>
    </row>
    <row r="70" spans="1:39" ht="21.9" customHeight="1" x14ac:dyDescent="0.35">
      <c r="A70" s="89">
        <v>7</v>
      </c>
      <c r="B70" s="129"/>
      <c r="C70" s="123"/>
      <c r="D70" s="123"/>
      <c r="E70" s="123"/>
      <c r="F70" s="123"/>
      <c r="G70" s="100"/>
      <c r="H70" s="101"/>
      <c r="I70" s="86"/>
      <c r="J70" s="86"/>
      <c r="K70" s="87"/>
      <c r="L70" s="88"/>
      <c r="M70" s="86"/>
      <c r="N70" s="86"/>
      <c r="O70" s="86"/>
      <c r="P70" s="75"/>
      <c r="Q70" s="89"/>
      <c r="R70" s="86"/>
      <c r="S70" s="86"/>
      <c r="T70" s="86"/>
      <c r="U70" s="87"/>
      <c r="V70" s="88"/>
      <c r="W70" s="86"/>
      <c r="X70" s="86"/>
      <c r="Y70" s="86"/>
      <c r="Z70" s="75"/>
      <c r="AA70" s="89"/>
      <c r="AB70" s="86"/>
      <c r="AC70" s="86"/>
      <c r="AD70" s="75"/>
      <c r="AE70" s="87"/>
      <c r="AF70" s="57"/>
      <c r="AG70" s="58"/>
      <c r="AH70" s="147"/>
      <c r="AI70" s="148"/>
      <c r="AJ70" s="115"/>
      <c r="AK70" s="115"/>
      <c r="AL70" s="115"/>
      <c r="AM70" s="118"/>
    </row>
    <row r="71" spans="1:39" ht="21.9" customHeight="1" x14ac:dyDescent="0.35">
      <c r="A71" s="99">
        <v>8</v>
      </c>
      <c r="B71" s="129"/>
      <c r="C71" s="123"/>
      <c r="D71" s="123"/>
      <c r="E71" s="123"/>
      <c r="F71" s="123"/>
      <c r="G71" s="100"/>
      <c r="H71" s="101"/>
      <c r="I71" s="86"/>
      <c r="J71" s="86"/>
      <c r="K71" s="87"/>
      <c r="L71" s="88"/>
      <c r="M71" s="86"/>
      <c r="N71" s="86"/>
      <c r="O71" s="86"/>
      <c r="P71" s="75"/>
      <c r="Q71" s="89"/>
      <c r="R71" s="86"/>
      <c r="S71" s="86"/>
      <c r="T71" s="86"/>
      <c r="U71" s="87"/>
      <c r="V71" s="88"/>
      <c r="W71" s="86"/>
      <c r="X71" s="86"/>
      <c r="Y71" s="86"/>
      <c r="Z71" s="75"/>
      <c r="AA71" s="89"/>
      <c r="AB71" s="86"/>
      <c r="AC71" s="86"/>
      <c r="AD71" s="75"/>
      <c r="AE71" s="87"/>
      <c r="AF71" s="57"/>
      <c r="AG71" s="58"/>
      <c r="AH71" s="147"/>
      <c r="AI71" s="148"/>
      <c r="AJ71" s="115"/>
      <c r="AK71" s="115"/>
      <c r="AL71" s="115"/>
      <c r="AM71" s="118"/>
    </row>
    <row r="72" spans="1:39" ht="21.9" customHeight="1" x14ac:dyDescent="0.35">
      <c r="A72" s="99">
        <v>9</v>
      </c>
      <c r="B72" s="129"/>
      <c r="C72" s="123"/>
      <c r="D72" s="123"/>
      <c r="E72" s="123"/>
      <c r="F72" s="123"/>
      <c r="G72" s="100"/>
      <c r="H72" s="101"/>
      <c r="I72" s="86"/>
      <c r="J72" s="86"/>
      <c r="K72" s="87"/>
      <c r="L72" s="88"/>
      <c r="M72" s="86"/>
      <c r="N72" s="86"/>
      <c r="O72" s="86"/>
      <c r="P72" s="75"/>
      <c r="Q72" s="89"/>
      <c r="R72" s="86"/>
      <c r="S72" s="86"/>
      <c r="T72" s="86"/>
      <c r="U72" s="87"/>
      <c r="V72" s="88"/>
      <c r="W72" s="86"/>
      <c r="X72" s="86"/>
      <c r="Y72" s="86"/>
      <c r="Z72" s="75"/>
      <c r="AA72" s="89"/>
      <c r="AB72" s="86"/>
      <c r="AC72" s="86"/>
      <c r="AD72" s="75"/>
      <c r="AE72" s="87"/>
      <c r="AF72" s="57"/>
      <c r="AG72" s="58"/>
      <c r="AH72" s="147"/>
      <c r="AI72" s="148"/>
      <c r="AJ72" s="115"/>
      <c r="AK72" s="115"/>
      <c r="AL72" s="115"/>
      <c r="AM72" s="118"/>
    </row>
    <row r="73" spans="1:39" ht="21.9" customHeight="1" x14ac:dyDescent="0.35">
      <c r="A73" s="89">
        <v>10</v>
      </c>
      <c r="B73" s="129"/>
      <c r="C73" s="123"/>
      <c r="D73" s="123"/>
      <c r="E73" s="123"/>
      <c r="F73" s="123"/>
      <c r="G73" s="100"/>
      <c r="H73" s="101"/>
      <c r="I73" s="86"/>
      <c r="J73" s="86"/>
      <c r="K73" s="87"/>
      <c r="L73" s="88"/>
      <c r="M73" s="86"/>
      <c r="N73" s="86"/>
      <c r="O73" s="86"/>
      <c r="P73" s="75"/>
      <c r="Q73" s="89"/>
      <c r="R73" s="86"/>
      <c r="S73" s="86"/>
      <c r="T73" s="86"/>
      <c r="U73" s="87"/>
      <c r="V73" s="88"/>
      <c r="W73" s="86"/>
      <c r="X73" s="86"/>
      <c r="Y73" s="86"/>
      <c r="Z73" s="75"/>
      <c r="AA73" s="89"/>
      <c r="AB73" s="86"/>
      <c r="AC73" s="86"/>
      <c r="AD73" s="75"/>
      <c r="AE73" s="87"/>
      <c r="AF73" s="57"/>
      <c r="AG73" s="58"/>
      <c r="AH73" s="147"/>
      <c r="AI73" s="148"/>
      <c r="AJ73" s="115"/>
      <c r="AK73" s="115"/>
      <c r="AL73" s="115"/>
      <c r="AM73" s="118"/>
    </row>
    <row r="74" spans="1:39" ht="21.9" customHeight="1" x14ac:dyDescent="0.35">
      <c r="A74" s="99">
        <v>11</v>
      </c>
      <c r="B74" s="129"/>
      <c r="C74" s="123"/>
      <c r="D74" s="123"/>
      <c r="E74" s="123"/>
      <c r="F74" s="123"/>
      <c r="G74" s="100"/>
      <c r="H74" s="101"/>
      <c r="I74" s="86"/>
      <c r="J74" s="86"/>
      <c r="K74" s="87"/>
      <c r="L74" s="88"/>
      <c r="M74" s="86"/>
      <c r="N74" s="86"/>
      <c r="O74" s="86"/>
      <c r="P74" s="75"/>
      <c r="Q74" s="89"/>
      <c r="R74" s="86"/>
      <c r="S74" s="86"/>
      <c r="T74" s="86"/>
      <c r="U74" s="87"/>
      <c r="V74" s="88"/>
      <c r="W74" s="86"/>
      <c r="X74" s="86"/>
      <c r="Y74" s="86"/>
      <c r="Z74" s="75"/>
      <c r="AA74" s="89"/>
      <c r="AB74" s="86"/>
      <c r="AC74" s="86"/>
      <c r="AD74" s="75"/>
      <c r="AE74" s="87"/>
      <c r="AF74" s="57"/>
      <c r="AG74" s="58"/>
      <c r="AH74" s="147"/>
      <c r="AI74" s="148"/>
      <c r="AJ74" s="115"/>
      <c r="AK74" s="115"/>
      <c r="AL74" s="115"/>
      <c r="AM74" s="118"/>
    </row>
    <row r="75" spans="1:39" ht="21.9" customHeight="1" x14ac:dyDescent="0.35">
      <c r="A75" s="99">
        <v>12</v>
      </c>
      <c r="B75" s="129"/>
      <c r="C75" s="123"/>
      <c r="D75" s="123"/>
      <c r="E75" s="123"/>
      <c r="F75" s="123"/>
      <c r="G75" s="100"/>
      <c r="H75" s="101"/>
      <c r="I75" s="86"/>
      <c r="J75" s="86"/>
      <c r="K75" s="87"/>
      <c r="L75" s="88"/>
      <c r="M75" s="86"/>
      <c r="N75" s="86"/>
      <c r="O75" s="86"/>
      <c r="P75" s="75"/>
      <c r="Q75" s="89"/>
      <c r="R75" s="86"/>
      <c r="S75" s="86"/>
      <c r="T75" s="86"/>
      <c r="U75" s="87"/>
      <c r="V75" s="88"/>
      <c r="W75" s="86"/>
      <c r="X75" s="86"/>
      <c r="Y75" s="86"/>
      <c r="Z75" s="75"/>
      <c r="AA75" s="89"/>
      <c r="AB75" s="86"/>
      <c r="AC75" s="86"/>
      <c r="AD75" s="75"/>
      <c r="AE75" s="87"/>
      <c r="AF75" s="57"/>
      <c r="AG75" s="58"/>
      <c r="AH75" s="147"/>
      <c r="AI75" s="148"/>
      <c r="AJ75" s="115"/>
      <c r="AK75" s="115"/>
      <c r="AL75" s="115"/>
      <c r="AM75" s="118"/>
    </row>
    <row r="76" spans="1:39" ht="21.9" customHeight="1" x14ac:dyDescent="0.35">
      <c r="A76" s="89">
        <v>13</v>
      </c>
      <c r="B76" s="129"/>
      <c r="C76" s="123"/>
      <c r="D76" s="123"/>
      <c r="E76" s="123"/>
      <c r="F76" s="123"/>
      <c r="G76" s="100"/>
      <c r="H76" s="101"/>
      <c r="I76" s="86"/>
      <c r="J76" s="86"/>
      <c r="K76" s="87"/>
      <c r="L76" s="88"/>
      <c r="M76" s="86"/>
      <c r="N76" s="86"/>
      <c r="O76" s="86"/>
      <c r="P76" s="75"/>
      <c r="Q76" s="89"/>
      <c r="R76" s="86"/>
      <c r="S76" s="86"/>
      <c r="T76" s="86"/>
      <c r="U76" s="87"/>
      <c r="V76" s="88"/>
      <c r="W76" s="86"/>
      <c r="X76" s="86"/>
      <c r="Y76" s="86"/>
      <c r="Z76" s="75"/>
      <c r="AA76" s="89"/>
      <c r="AB76" s="86"/>
      <c r="AC76" s="86"/>
      <c r="AD76" s="75"/>
      <c r="AE76" s="87"/>
      <c r="AF76" s="57"/>
      <c r="AG76" s="58"/>
      <c r="AH76" s="147"/>
      <c r="AI76" s="148"/>
      <c r="AJ76" s="115"/>
      <c r="AK76" s="115"/>
      <c r="AL76" s="115"/>
      <c r="AM76" s="118"/>
    </row>
    <row r="77" spans="1:39" ht="21.9" customHeight="1" x14ac:dyDescent="0.35">
      <c r="A77" s="99">
        <v>14</v>
      </c>
      <c r="B77" s="129"/>
      <c r="C77" s="123"/>
      <c r="D77" s="123"/>
      <c r="E77" s="123"/>
      <c r="F77" s="123"/>
      <c r="G77" s="100"/>
      <c r="H77" s="101"/>
      <c r="I77" s="86"/>
      <c r="J77" s="86"/>
      <c r="K77" s="87"/>
      <c r="L77" s="88"/>
      <c r="M77" s="86"/>
      <c r="N77" s="86"/>
      <c r="O77" s="86"/>
      <c r="P77" s="75"/>
      <c r="Q77" s="89"/>
      <c r="R77" s="86"/>
      <c r="S77" s="86"/>
      <c r="T77" s="86"/>
      <c r="U77" s="87"/>
      <c r="V77" s="88"/>
      <c r="W77" s="86"/>
      <c r="X77" s="86"/>
      <c r="Y77" s="86"/>
      <c r="Z77" s="75"/>
      <c r="AA77" s="89"/>
      <c r="AB77" s="86"/>
      <c r="AC77" s="86"/>
      <c r="AD77" s="75"/>
      <c r="AE77" s="87"/>
      <c r="AF77" s="57"/>
      <c r="AG77" s="58"/>
      <c r="AH77" s="147"/>
      <c r="AI77" s="148"/>
      <c r="AJ77" s="115"/>
      <c r="AK77" s="115"/>
      <c r="AL77" s="115"/>
      <c r="AM77" s="118"/>
    </row>
    <row r="78" spans="1:39" ht="21.9" customHeight="1" x14ac:dyDescent="0.35">
      <c r="A78" s="99">
        <v>15</v>
      </c>
      <c r="B78" s="129"/>
      <c r="C78" s="123"/>
      <c r="D78" s="123"/>
      <c r="E78" s="123"/>
      <c r="F78" s="123"/>
      <c r="G78" s="100"/>
      <c r="H78" s="101"/>
      <c r="I78" s="86"/>
      <c r="J78" s="86"/>
      <c r="K78" s="87"/>
      <c r="L78" s="88"/>
      <c r="M78" s="86"/>
      <c r="N78" s="86"/>
      <c r="O78" s="86"/>
      <c r="P78" s="75"/>
      <c r="Q78" s="89"/>
      <c r="R78" s="86"/>
      <c r="S78" s="86"/>
      <c r="T78" s="86"/>
      <c r="U78" s="87"/>
      <c r="V78" s="88"/>
      <c r="W78" s="86"/>
      <c r="X78" s="86"/>
      <c r="Y78" s="86"/>
      <c r="Z78" s="75"/>
      <c r="AA78" s="89"/>
      <c r="AB78" s="86"/>
      <c r="AC78" s="86"/>
      <c r="AD78" s="75"/>
      <c r="AE78" s="87"/>
      <c r="AF78" s="57"/>
      <c r="AG78" s="58"/>
      <c r="AH78" s="147"/>
      <c r="AI78" s="148"/>
      <c r="AJ78" s="115"/>
      <c r="AK78" s="115"/>
      <c r="AL78" s="115"/>
      <c r="AM78" s="118"/>
    </row>
    <row r="79" spans="1:39" ht="21.9" customHeight="1" x14ac:dyDescent="0.35">
      <c r="A79" s="89">
        <v>16</v>
      </c>
      <c r="B79" s="129"/>
      <c r="C79" s="123"/>
      <c r="D79" s="123"/>
      <c r="E79" s="123"/>
      <c r="F79" s="123"/>
      <c r="G79" s="100"/>
      <c r="H79" s="101"/>
      <c r="I79" s="86"/>
      <c r="J79" s="86"/>
      <c r="K79" s="87"/>
      <c r="L79" s="88"/>
      <c r="M79" s="86"/>
      <c r="N79" s="86"/>
      <c r="O79" s="86"/>
      <c r="P79" s="75"/>
      <c r="Q79" s="89"/>
      <c r="R79" s="86"/>
      <c r="S79" s="86"/>
      <c r="T79" s="86"/>
      <c r="U79" s="87"/>
      <c r="V79" s="88"/>
      <c r="W79" s="86"/>
      <c r="X79" s="86"/>
      <c r="Y79" s="86"/>
      <c r="Z79" s="75"/>
      <c r="AA79" s="89"/>
      <c r="AB79" s="86"/>
      <c r="AC79" s="86"/>
      <c r="AD79" s="75"/>
      <c r="AE79" s="87"/>
      <c r="AF79" s="57"/>
      <c r="AG79" s="58"/>
      <c r="AH79" s="147"/>
      <c r="AI79" s="148"/>
      <c r="AJ79" s="115"/>
      <c r="AK79" s="115"/>
      <c r="AL79" s="115"/>
      <c r="AM79" s="118"/>
    </row>
    <row r="80" spans="1:39" ht="21.9" customHeight="1" x14ac:dyDescent="0.35">
      <c r="A80" s="99">
        <v>17</v>
      </c>
      <c r="B80" s="129"/>
      <c r="C80" s="123"/>
      <c r="D80" s="123"/>
      <c r="E80" s="123"/>
      <c r="F80" s="123"/>
      <c r="G80" s="100"/>
      <c r="H80" s="101"/>
      <c r="I80" s="86"/>
      <c r="J80" s="86"/>
      <c r="K80" s="87"/>
      <c r="L80" s="88"/>
      <c r="M80" s="86"/>
      <c r="N80" s="86"/>
      <c r="O80" s="86"/>
      <c r="P80" s="75"/>
      <c r="Q80" s="89"/>
      <c r="R80" s="86"/>
      <c r="S80" s="86"/>
      <c r="T80" s="86"/>
      <c r="U80" s="87"/>
      <c r="V80" s="88"/>
      <c r="W80" s="86"/>
      <c r="X80" s="86"/>
      <c r="Y80" s="86"/>
      <c r="Z80" s="75"/>
      <c r="AA80" s="89"/>
      <c r="AB80" s="86"/>
      <c r="AC80" s="86"/>
      <c r="AD80" s="75"/>
      <c r="AE80" s="87"/>
      <c r="AF80" s="57"/>
      <c r="AG80" s="58"/>
      <c r="AH80" s="147"/>
      <c r="AI80" s="148"/>
      <c r="AJ80" s="115"/>
      <c r="AK80" s="115"/>
      <c r="AL80" s="115"/>
      <c r="AM80" s="118"/>
    </row>
    <row r="81" spans="1:39" ht="21.9" customHeight="1" x14ac:dyDescent="0.35">
      <c r="A81" s="99">
        <v>18</v>
      </c>
      <c r="B81" s="129"/>
      <c r="C81" s="123"/>
      <c r="D81" s="123"/>
      <c r="E81" s="123"/>
      <c r="F81" s="123"/>
      <c r="G81" s="100"/>
      <c r="H81" s="101"/>
      <c r="I81" s="86"/>
      <c r="J81" s="86"/>
      <c r="K81" s="87"/>
      <c r="L81" s="88"/>
      <c r="M81" s="86"/>
      <c r="N81" s="86"/>
      <c r="O81" s="86"/>
      <c r="P81" s="75"/>
      <c r="Q81" s="89"/>
      <c r="R81" s="86"/>
      <c r="S81" s="86"/>
      <c r="T81" s="86"/>
      <c r="U81" s="87"/>
      <c r="V81" s="88"/>
      <c r="W81" s="86"/>
      <c r="X81" s="86"/>
      <c r="Y81" s="86"/>
      <c r="Z81" s="75"/>
      <c r="AA81" s="89"/>
      <c r="AB81" s="86"/>
      <c r="AC81" s="86"/>
      <c r="AD81" s="75"/>
      <c r="AE81" s="87"/>
      <c r="AF81" s="57"/>
      <c r="AG81" s="58"/>
      <c r="AH81" s="147"/>
      <c r="AI81" s="148"/>
      <c r="AJ81" s="115"/>
      <c r="AK81" s="115"/>
      <c r="AL81" s="115"/>
      <c r="AM81" s="118"/>
    </row>
    <row r="82" spans="1:39" ht="21.9" customHeight="1" x14ac:dyDescent="0.35">
      <c r="A82" s="89">
        <v>19</v>
      </c>
      <c r="B82" s="129"/>
      <c r="C82" s="123"/>
      <c r="D82" s="123"/>
      <c r="E82" s="123"/>
      <c r="F82" s="123"/>
      <c r="G82" s="100"/>
      <c r="H82" s="101"/>
      <c r="I82" s="86"/>
      <c r="J82" s="86"/>
      <c r="K82" s="87"/>
      <c r="L82" s="88"/>
      <c r="M82" s="86"/>
      <c r="N82" s="86"/>
      <c r="O82" s="86"/>
      <c r="P82" s="75"/>
      <c r="Q82" s="89"/>
      <c r="R82" s="86"/>
      <c r="S82" s="86"/>
      <c r="T82" s="86"/>
      <c r="U82" s="87"/>
      <c r="V82" s="88"/>
      <c r="W82" s="86"/>
      <c r="X82" s="86"/>
      <c r="Y82" s="86"/>
      <c r="Z82" s="75"/>
      <c r="AA82" s="89"/>
      <c r="AB82" s="86"/>
      <c r="AC82" s="86"/>
      <c r="AD82" s="75"/>
      <c r="AE82" s="87"/>
      <c r="AF82" s="57"/>
      <c r="AG82" s="58"/>
      <c r="AH82" s="147"/>
      <c r="AI82" s="148"/>
      <c r="AJ82" s="115"/>
      <c r="AK82" s="115"/>
      <c r="AL82" s="115"/>
      <c r="AM82" s="118"/>
    </row>
    <row r="83" spans="1:39" ht="21.9" customHeight="1" x14ac:dyDescent="0.35">
      <c r="A83" s="99">
        <v>20</v>
      </c>
      <c r="B83" s="129"/>
      <c r="C83" s="123"/>
      <c r="D83" s="123"/>
      <c r="E83" s="123"/>
      <c r="F83" s="123"/>
      <c r="G83" s="100"/>
      <c r="H83" s="101"/>
      <c r="I83" s="86"/>
      <c r="J83" s="86"/>
      <c r="K83" s="87"/>
      <c r="L83" s="88"/>
      <c r="M83" s="86"/>
      <c r="N83" s="86"/>
      <c r="O83" s="86"/>
      <c r="P83" s="75"/>
      <c r="Q83" s="89"/>
      <c r="R83" s="86"/>
      <c r="S83" s="86"/>
      <c r="T83" s="86"/>
      <c r="U83" s="87"/>
      <c r="V83" s="88"/>
      <c r="W83" s="86"/>
      <c r="X83" s="86"/>
      <c r="Y83" s="86"/>
      <c r="Z83" s="75"/>
      <c r="AA83" s="89"/>
      <c r="AB83" s="86"/>
      <c r="AC83" s="86"/>
      <c r="AD83" s="75"/>
      <c r="AE83" s="87"/>
      <c r="AF83" s="57"/>
      <c r="AG83" s="58"/>
      <c r="AH83" s="147"/>
      <c r="AI83" s="148"/>
      <c r="AJ83" s="115"/>
      <c r="AK83" s="115"/>
      <c r="AL83" s="115"/>
      <c r="AM83" s="118"/>
    </row>
    <row r="84" spans="1:39" ht="21.9" customHeight="1" x14ac:dyDescent="0.35">
      <c r="A84" s="99">
        <v>21</v>
      </c>
      <c r="B84" s="129"/>
      <c r="C84" s="123"/>
      <c r="D84" s="123"/>
      <c r="E84" s="123"/>
      <c r="F84" s="123"/>
      <c r="G84" s="100"/>
      <c r="H84" s="101"/>
      <c r="I84" s="86"/>
      <c r="J84" s="86"/>
      <c r="K84" s="87"/>
      <c r="L84" s="88"/>
      <c r="M84" s="86"/>
      <c r="N84" s="86"/>
      <c r="O84" s="86"/>
      <c r="P84" s="75"/>
      <c r="Q84" s="89"/>
      <c r="R84" s="86"/>
      <c r="S84" s="86"/>
      <c r="T84" s="86"/>
      <c r="U84" s="87"/>
      <c r="V84" s="88"/>
      <c r="W84" s="86"/>
      <c r="X84" s="86"/>
      <c r="Y84" s="86"/>
      <c r="Z84" s="75"/>
      <c r="AA84" s="89"/>
      <c r="AB84" s="86"/>
      <c r="AC84" s="86"/>
      <c r="AD84" s="75"/>
      <c r="AE84" s="87"/>
      <c r="AF84" s="57"/>
      <c r="AG84" s="58"/>
      <c r="AH84" s="147"/>
      <c r="AI84" s="148"/>
      <c r="AJ84" s="115"/>
      <c r="AK84" s="115"/>
      <c r="AL84" s="115"/>
      <c r="AM84" s="118"/>
    </row>
    <row r="85" spans="1:39" ht="21.9" customHeight="1" x14ac:dyDescent="0.35">
      <c r="A85" s="89">
        <v>22</v>
      </c>
      <c r="B85" s="129"/>
      <c r="C85" s="123"/>
      <c r="D85" s="123"/>
      <c r="E85" s="123"/>
      <c r="F85" s="123"/>
      <c r="G85" s="100"/>
      <c r="H85" s="101"/>
      <c r="I85" s="86"/>
      <c r="J85" s="86"/>
      <c r="K85" s="87"/>
      <c r="L85" s="88"/>
      <c r="M85" s="86"/>
      <c r="N85" s="86"/>
      <c r="O85" s="86"/>
      <c r="P85" s="75"/>
      <c r="Q85" s="89"/>
      <c r="R85" s="86"/>
      <c r="S85" s="86"/>
      <c r="T85" s="86"/>
      <c r="U85" s="87"/>
      <c r="V85" s="88"/>
      <c r="W85" s="86"/>
      <c r="X85" s="86"/>
      <c r="Y85" s="86"/>
      <c r="Z85" s="75"/>
      <c r="AA85" s="89"/>
      <c r="AB85" s="86"/>
      <c r="AC85" s="86"/>
      <c r="AD85" s="75"/>
      <c r="AE85" s="87"/>
      <c r="AF85" s="57"/>
      <c r="AG85" s="58"/>
      <c r="AH85" s="147"/>
      <c r="AI85" s="148"/>
      <c r="AJ85" s="115"/>
      <c r="AK85" s="115"/>
      <c r="AL85" s="115"/>
      <c r="AM85" s="118"/>
    </row>
    <row r="86" spans="1:39" ht="21.9" customHeight="1" x14ac:dyDescent="0.35">
      <c r="A86" s="99">
        <v>23</v>
      </c>
      <c r="B86" s="129"/>
      <c r="C86" s="123"/>
      <c r="D86" s="123"/>
      <c r="E86" s="123"/>
      <c r="F86" s="123"/>
      <c r="G86" s="100"/>
      <c r="H86" s="101"/>
      <c r="I86" s="86"/>
      <c r="J86" s="86"/>
      <c r="K86" s="87"/>
      <c r="L86" s="88"/>
      <c r="M86" s="86"/>
      <c r="N86" s="86"/>
      <c r="O86" s="86"/>
      <c r="P86" s="75"/>
      <c r="Q86" s="89"/>
      <c r="R86" s="86"/>
      <c r="S86" s="86"/>
      <c r="T86" s="86"/>
      <c r="U86" s="87"/>
      <c r="V86" s="88"/>
      <c r="W86" s="86"/>
      <c r="X86" s="86"/>
      <c r="Y86" s="86"/>
      <c r="Z86" s="75"/>
      <c r="AA86" s="89"/>
      <c r="AB86" s="86"/>
      <c r="AC86" s="86"/>
      <c r="AD86" s="75"/>
      <c r="AE86" s="87"/>
      <c r="AF86" s="57"/>
      <c r="AG86" s="58"/>
      <c r="AH86" s="147"/>
      <c r="AI86" s="148"/>
      <c r="AJ86" s="115"/>
      <c r="AK86" s="115"/>
      <c r="AL86" s="115"/>
      <c r="AM86" s="118"/>
    </row>
    <row r="87" spans="1:39" ht="21.9" customHeight="1" x14ac:dyDescent="0.35">
      <c r="A87" s="99">
        <v>24</v>
      </c>
      <c r="B87" s="129"/>
      <c r="C87" s="123"/>
      <c r="D87" s="123"/>
      <c r="E87" s="123"/>
      <c r="F87" s="123"/>
      <c r="G87" s="100"/>
      <c r="H87" s="101"/>
      <c r="I87" s="86"/>
      <c r="J87" s="86"/>
      <c r="K87" s="87"/>
      <c r="L87" s="88"/>
      <c r="M87" s="86"/>
      <c r="N87" s="86"/>
      <c r="O87" s="86"/>
      <c r="P87" s="75"/>
      <c r="Q87" s="89"/>
      <c r="R87" s="86"/>
      <c r="S87" s="86"/>
      <c r="T87" s="86"/>
      <c r="U87" s="87"/>
      <c r="V87" s="88"/>
      <c r="W87" s="86"/>
      <c r="X87" s="86"/>
      <c r="Y87" s="86"/>
      <c r="Z87" s="75"/>
      <c r="AA87" s="89"/>
      <c r="AB87" s="86"/>
      <c r="AC87" s="86"/>
      <c r="AD87" s="75"/>
      <c r="AE87" s="87"/>
      <c r="AF87" s="57"/>
      <c r="AG87" s="58"/>
      <c r="AH87" s="147"/>
      <c r="AI87" s="148"/>
      <c r="AJ87" s="115"/>
      <c r="AK87" s="115"/>
      <c r="AL87" s="115"/>
      <c r="AM87" s="118"/>
    </row>
    <row r="88" spans="1:39" ht="21.9" customHeight="1" x14ac:dyDescent="0.35">
      <c r="A88" s="89">
        <v>25</v>
      </c>
      <c r="B88" s="129"/>
      <c r="C88" s="123"/>
      <c r="D88" s="123"/>
      <c r="E88" s="123"/>
      <c r="F88" s="123"/>
      <c r="G88" s="100"/>
      <c r="H88" s="101"/>
      <c r="I88" s="86"/>
      <c r="J88" s="86"/>
      <c r="K88" s="87"/>
      <c r="L88" s="88"/>
      <c r="M88" s="86"/>
      <c r="N88" s="86"/>
      <c r="O88" s="86"/>
      <c r="P88" s="75"/>
      <c r="Q88" s="89"/>
      <c r="R88" s="86"/>
      <c r="S88" s="86"/>
      <c r="T88" s="86"/>
      <c r="U88" s="87"/>
      <c r="V88" s="88"/>
      <c r="W88" s="86"/>
      <c r="X88" s="86"/>
      <c r="Y88" s="86"/>
      <c r="Z88" s="75"/>
      <c r="AA88" s="89"/>
      <c r="AB88" s="86"/>
      <c r="AC88" s="86"/>
      <c r="AD88" s="75"/>
      <c r="AE88" s="87"/>
      <c r="AF88" s="57" t="str">
        <f t="shared" si="1"/>
        <v/>
      </c>
      <c r="AG88" s="58" t="str">
        <f>IF(B88="","",$AJ$117-AF88)</f>
        <v/>
      </c>
      <c r="AH88" s="147"/>
      <c r="AI88" s="148"/>
      <c r="AJ88" s="148"/>
      <c r="AK88" s="148"/>
      <c r="AL88" s="148"/>
      <c r="AM88" s="149"/>
    </row>
    <row r="89" spans="1:39" ht="21.9" customHeight="1" x14ac:dyDescent="0.35">
      <c r="A89" s="99">
        <v>26</v>
      </c>
      <c r="B89" s="129"/>
      <c r="C89" s="123"/>
      <c r="D89" s="123"/>
      <c r="E89" s="123"/>
      <c r="F89" s="123"/>
      <c r="G89" s="100"/>
      <c r="H89" s="101"/>
      <c r="I89" s="86"/>
      <c r="J89" s="86"/>
      <c r="K89" s="87"/>
      <c r="L89" s="88"/>
      <c r="M89" s="86"/>
      <c r="N89" s="86"/>
      <c r="O89" s="86"/>
      <c r="P89" s="75"/>
      <c r="Q89" s="89"/>
      <c r="R89" s="86"/>
      <c r="S89" s="86"/>
      <c r="T89" s="86"/>
      <c r="U89" s="87"/>
      <c r="V89" s="88"/>
      <c r="W89" s="86"/>
      <c r="X89" s="86"/>
      <c r="Y89" s="86"/>
      <c r="Z89" s="75"/>
      <c r="AA89" s="89"/>
      <c r="AB89" s="86"/>
      <c r="AC89" s="86"/>
      <c r="AD89" s="75"/>
      <c r="AE89" s="87"/>
      <c r="AF89" s="57" t="str">
        <f t="shared" si="1"/>
        <v/>
      </c>
      <c r="AG89" s="58" t="str">
        <f>IF(B89="","",$AJ$117-AF89)</f>
        <v/>
      </c>
      <c r="AH89" s="147"/>
      <c r="AI89" s="148"/>
      <c r="AJ89" s="148"/>
      <c r="AK89" s="148"/>
      <c r="AL89" s="148"/>
      <c r="AM89" s="149"/>
    </row>
    <row r="90" spans="1:39" ht="21.9" customHeight="1" x14ac:dyDescent="0.35">
      <c r="A90" s="99">
        <v>27</v>
      </c>
      <c r="B90" s="129"/>
      <c r="C90" s="123"/>
      <c r="D90" s="123"/>
      <c r="E90" s="123"/>
      <c r="F90" s="123"/>
      <c r="G90" s="100"/>
      <c r="H90" s="101"/>
      <c r="I90" s="86"/>
      <c r="J90" s="86"/>
      <c r="K90" s="87"/>
      <c r="L90" s="88"/>
      <c r="M90" s="86"/>
      <c r="N90" s="86"/>
      <c r="O90" s="86"/>
      <c r="P90" s="75"/>
      <c r="Q90" s="89"/>
      <c r="R90" s="86"/>
      <c r="S90" s="86"/>
      <c r="T90" s="86"/>
      <c r="U90" s="87"/>
      <c r="V90" s="88"/>
      <c r="W90" s="86"/>
      <c r="X90" s="86"/>
      <c r="Y90" s="86"/>
      <c r="Z90" s="75"/>
      <c r="AA90" s="89"/>
      <c r="AB90" s="86"/>
      <c r="AC90" s="86"/>
      <c r="AD90" s="75"/>
      <c r="AE90" s="87"/>
      <c r="AF90" s="57" t="str">
        <f t="shared" si="1"/>
        <v/>
      </c>
      <c r="AG90" s="58" t="str">
        <f>IF(B90="","",$AJ$117-AF90)</f>
        <v/>
      </c>
      <c r="AH90" s="147"/>
      <c r="AI90" s="148"/>
      <c r="AJ90" s="148"/>
      <c r="AK90" s="148"/>
      <c r="AL90" s="148"/>
      <c r="AM90" s="149"/>
    </row>
    <row r="91" spans="1:39" ht="21.9" customHeight="1" x14ac:dyDescent="0.35">
      <c r="A91" s="89">
        <v>28</v>
      </c>
      <c r="B91" s="129"/>
      <c r="C91" s="123"/>
      <c r="D91" s="123"/>
      <c r="E91" s="123"/>
      <c r="F91" s="123"/>
      <c r="G91" s="100"/>
      <c r="H91" s="101"/>
      <c r="I91" s="86"/>
      <c r="J91" s="86"/>
      <c r="K91" s="87"/>
      <c r="L91" s="88"/>
      <c r="M91" s="86"/>
      <c r="N91" s="86"/>
      <c r="O91" s="86"/>
      <c r="P91" s="75"/>
      <c r="Q91" s="89"/>
      <c r="R91" s="86"/>
      <c r="S91" s="86"/>
      <c r="T91" s="86"/>
      <c r="U91" s="87"/>
      <c r="V91" s="88"/>
      <c r="W91" s="86"/>
      <c r="X91" s="86"/>
      <c r="Y91" s="86"/>
      <c r="Z91" s="75"/>
      <c r="AA91" s="89"/>
      <c r="AB91" s="86"/>
      <c r="AC91" s="86"/>
      <c r="AD91" s="75"/>
      <c r="AE91" s="87"/>
      <c r="AF91" s="57" t="str">
        <f t="shared" si="1"/>
        <v/>
      </c>
      <c r="AG91" s="58" t="str">
        <f>IF(B91="","",$AJ$117-AF91)</f>
        <v/>
      </c>
      <c r="AH91" s="147"/>
      <c r="AI91" s="148"/>
      <c r="AJ91" s="148"/>
      <c r="AK91" s="148"/>
      <c r="AL91" s="148"/>
      <c r="AM91" s="149"/>
    </row>
    <row r="92" spans="1:39" ht="21.9" customHeight="1" x14ac:dyDescent="0.35">
      <c r="A92" s="99">
        <v>29</v>
      </c>
      <c r="B92" s="129"/>
      <c r="C92" s="123"/>
      <c r="D92" s="123"/>
      <c r="E92" s="123"/>
      <c r="F92" s="123"/>
      <c r="G92" s="100"/>
      <c r="H92" s="101"/>
      <c r="I92" s="86"/>
      <c r="J92" s="86"/>
      <c r="K92" s="87"/>
      <c r="L92" s="88"/>
      <c r="M92" s="86"/>
      <c r="N92" s="86"/>
      <c r="O92" s="86"/>
      <c r="P92" s="75"/>
      <c r="Q92" s="89"/>
      <c r="R92" s="86"/>
      <c r="S92" s="86"/>
      <c r="T92" s="86"/>
      <c r="U92" s="87"/>
      <c r="V92" s="88"/>
      <c r="W92" s="86"/>
      <c r="X92" s="86"/>
      <c r="Y92" s="86"/>
      <c r="Z92" s="75"/>
      <c r="AA92" s="89"/>
      <c r="AB92" s="86"/>
      <c r="AC92" s="86"/>
      <c r="AD92" s="75"/>
      <c r="AE92" s="87"/>
      <c r="AF92" s="57" t="str">
        <f t="shared" si="1"/>
        <v/>
      </c>
      <c r="AG92" s="58" t="str">
        <f>IF(B92="","",$AJ$117-AF92)</f>
        <v/>
      </c>
      <c r="AH92" s="147"/>
      <c r="AI92" s="148"/>
      <c r="AJ92" s="148"/>
      <c r="AK92" s="148"/>
      <c r="AL92" s="148"/>
      <c r="AM92" s="149"/>
    </row>
    <row r="93" spans="1:39" ht="21.9" customHeight="1" x14ac:dyDescent="0.35">
      <c r="A93" s="99">
        <v>30</v>
      </c>
      <c r="B93" s="129"/>
      <c r="C93" s="123"/>
      <c r="D93" s="123"/>
      <c r="E93" s="123"/>
      <c r="F93" s="123"/>
      <c r="G93" s="100"/>
      <c r="H93" s="101"/>
      <c r="I93" s="86"/>
      <c r="J93" s="86"/>
      <c r="K93" s="87"/>
      <c r="L93" s="88"/>
      <c r="M93" s="86"/>
      <c r="N93" s="86"/>
      <c r="O93" s="86"/>
      <c r="P93" s="75"/>
      <c r="Q93" s="89"/>
      <c r="R93" s="86"/>
      <c r="S93" s="86"/>
      <c r="T93" s="86"/>
      <c r="U93" s="87"/>
      <c r="V93" s="88"/>
      <c r="W93" s="86"/>
      <c r="X93" s="86"/>
      <c r="Y93" s="86"/>
      <c r="Z93" s="75"/>
      <c r="AA93" s="89"/>
      <c r="AB93" s="86"/>
      <c r="AC93" s="86"/>
      <c r="AD93" s="75"/>
      <c r="AE93" s="87"/>
      <c r="AF93" s="57" t="str">
        <f t="shared" si="1"/>
        <v/>
      </c>
      <c r="AG93" s="58" t="str">
        <f>IF(B93="","",$AJ$117-AF93)</f>
        <v/>
      </c>
      <c r="AH93" s="147"/>
      <c r="AI93" s="148"/>
      <c r="AJ93" s="148"/>
      <c r="AK93" s="148"/>
      <c r="AL93" s="148"/>
      <c r="AM93" s="149"/>
    </row>
    <row r="94" spans="1:39" ht="21.9" customHeight="1" x14ac:dyDescent="0.35">
      <c r="A94" s="89">
        <v>31</v>
      </c>
      <c r="B94" s="129"/>
      <c r="C94" s="123"/>
      <c r="D94" s="123"/>
      <c r="E94" s="123"/>
      <c r="F94" s="123"/>
      <c r="G94" s="100"/>
      <c r="H94" s="101"/>
      <c r="I94" s="86"/>
      <c r="J94" s="86"/>
      <c r="K94" s="87"/>
      <c r="L94" s="88"/>
      <c r="M94" s="86"/>
      <c r="N94" s="86"/>
      <c r="O94" s="86"/>
      <c r="P94" s="75"/>
      <c r="Q94" s="89"/>
      <c r="R94" s="86"/>
      <c r="S94" s="86"/>
      <c r="T94" s="86"/>
      <c r="U94" s="87"/>
      <c r="V94" s="88"/>
      <c r="W94" s="86"/>
      <c r="X94" s="86"/>
      <c r="Y94" s="86"/>
      <c r="Z94" s="75"/>
      <c r="AA94" s="89"/>
      <c r="AB94" s="86"/>
      <c r="AC94" s="86"/>
      <c r="AD94" s="75"/>
      <c r="AE94" s="87"/>
      <c r="AF94" s="57" t="str">
        <f t="shared" si="1"/>
        <v/>
      </c>
      <c r="AG94" s="58" t="str">
        <f>IF(B94="","",$AJ$117-AF94)</f>
        <v/>
      </c>
      <c r="AH94" s="147"/>
      <c r="AI94" s="148"/>
      <c r="AJ94" s="148"/>
      <c r="AK94" s="148"/>
      <c r="AL94" s="148"/>
      <c r="AM94" s="149"/>
    </row>
    <row r="95" spans="1:39" ht="21.9" customHeight="1" x14ac:dyDescent="0.35">
      <c r="A95" s="99">
        <v>32</v>
      </c>
      <c r="B95" s="129"/>
      <c r="C95" s="123"/>
      <c r="D95" s="123"/>
      <c r="E95" s="123"/>
      <c r="F95" s="123"/>
      <c r="G95" s="100"/>
      <c r="H95" s="101"/>
      <c r="I95" s="86"/>
      <c r="J95" s="86"/>
      <c r="K95" s="87"/>
      <c r="L95" s="88"/>
      <c r="M95" s="86"/>
      <c r="N95" s="86"/>
      <c r="O95" s="86"/>
      <c r="P95" s="75"/>
      <c r="Q95" s="89"/>
      <c r="R95" s="86"/>
      <c r="S95" s="86"/>
      <c r="T95" s="86"/>
      <c r="U95" s="87"/>
      <c r="V95" s="88"/>
      <c r="W95" s="86"/>
      <c r="X95" s="86"/>
      <c r="Y95" s="86"/>
      <c r="Z95" s="75"/>
      <c r="AA95" s="89"/>
      <c r="AB95" s="86"/>
      <c r="AC95" s="86"/>
      <c r="AD95" s="75"/>
      <c r="AE95" s="87"/>
      <c r="AF95" s="57" t="str">
        <f t="shared" si="1"/>
        <v/>
      </c>
      <c r="AG95" s="58" t="str">
        <f>IF(B95="","",$AJ$117-AF95)</f>
        <v/>
      </c>
      <c r="AH95" s="147"/>
      <c r="AI95" s="148"/>
      <c r="AJ95" s="148"/>
      <c r="AK95" s="148"/>
      <c r="AL95" s="148"/>
      <c r="AM95" s="149"/>
    </row>
    <row r="96" spans="1:39" ht="21.9" customHeight="1" x14ac:dyDescent="0.35">
      <c r="A96" s="99">
        <v>33</v>
      </c>
      <c r="B96" s="129"/>
      <c r="C96" s="123"/>
      <c r="D96" s="123"/>
      <c r="E96" s="123"/>
      <c r="F96" s="123"/>
      <c r="G96" s="100"/>
      <c r="H96" s="101"/>
      <c r="I96" s="86"/>
      <c r="J96" s="86"/>
      <c r="K96" s="87"/>
      <c r="L96" s="88"/>
      <c r="M96" s="86"/>
      <c r="N96" s="86"/>
      <c r="O96" s="86"/>
      <c r="P96" s="75"/>
      <c r="Q96" s="89"/>
      <c r="R96" s="86"/>
      <c r="S96" s="86"/>
      <c r="T96" s="86"/>
      <c r="U96" s="87"/>
      <c r="V96" s="88"/>
      <c r="W96" s="86"/>
      <c r="X96" s="86"/>
      <c r="Y96" s="86"/>
      <c r="Z96" s="75"/>
      <c r="AA96" s="89"/>
      <c r="AB96" s="86"/>
      <c r="AC96" s="86"/>
      <c r="AD96" s="75"/>
      <c r="AE96" s="87"/>
      <c r="AF96" s="57" t="str">
        <f t="shared" si="1"/>
        <v/>
      </c>
      <c r="AG96" s="58" t="str">
        <f>IF(B96="","",$AJ$117-AF96)</f>
        <v/>
      </c>
      <c r="AH96" s="147"/>
      <c r="AI96" s="148"/>
      <c r="AJ96" s="148"/>
      <c r="AK96" s="148"/>
      <c r="AL96" s="148"/>
      <c r="AM96" s="149"/>
    </row>
    <row r="97" spans="1:39" ht="21.9" customHeight="1" x14ac:dyDescent="0.35">
      <c r="A97" s="89">
        <v>34</v>
      </c>
      <c r="B97" s="129"/>
      <c r="C97" s="123"/>
      <c r="D97" s="123"/>
      <c r="E97" s="123"/>
      <c r="F97" s="123"/>
      <c r="G97" s="100"/>
      <c r="H97" s="101"/>
      <c r="I97" s="86"/>
      <c r="J97" s="86"/>
      <c r="K97" s="87"/>
      <c r="L97" s="88"/>
      <c r="M97" s="86"/>
      <c r="N97" s="86"/>
      <c r="O97" s="86"/>
      <c r="P97" s="75"/>
      <c r="Q97" s="89"/>
      <c r="R97" s="86"/>
      <c r="S97" s="86"/>
      <c r="T97" s="86"/>
      <c r="U97" s="87"/>
      <c r="V97" s="88"/>
      <c r="W97" s="86"/>
      <c r="X97" s="86"/>
      <c r="Y97" s="86"/>
      <c r="Z97" s="75"/>
      <c r="AA97" s="89"/>
      <c r="AB97" s="86"/>
      <c r="AC97" s="86"/>
      <c r="AD97" s="75"/>
      <c r="AE97" s="87"/>
      <c r="AF97" s="57" t="str">
        <f t="shared" si="1"/>
        <v/>
      </c>
      <c r="AG97" s="58" t="str">
        <f>IF(B97="","",$AJ$117-AF97)</f>
        <v/>
      </c>
      <c r="AH97" s="147"/>
      <c r="AI97" s="148"/>
      <c r="AJ97" s="148"/>
      <c r="AK97" s="148"/>
      <c r="AL97" s="148"/>
      <c r="AM97" s="149"/>
    </row>
    <row r="98" spans="1:39" ht="21.9" customHeight="1" x14ac:dyDescent="0.35">
      <c r="A98" s="99">
        <v>35</v>
      </c>
      <c r="B98" s="129"/>
      <c r="C98" s="123"/>
      <c r="D98" s="123"/>
      <c r="E98" s="123"/>
      <c r="F98" s="123"/>
      <c r="G98" s="100"/>
      <c r="H98" s="101"/>
      <c r="I98" s="86"/>
      <c r="J98" s="86"/>
      <c r="K98" s="87"/>
      <c r="L98" s="88"/>
      <c r="M98" s="86"/>
      <c r="N98" s="86"/>
      <c r="O98" s="86"/>
      <c r="P98" s="75"/>
      <c r="Q98" s="89"/>
      <c r="R98" s="86"/>
      <c r="S98" s="86"/>
      <c r="T98" s="86"/>
      <c r="U98" s="87"/>
      <c r="V98" s="88"/>
      <c r="W98" s="86"/>
      <c r="X98" s="86"/>
      <c r="Y98" s="86"/>
      <c r="Z98" s="75"/>
      <c r="AA98" s="89"/>
      <c r="AB98" s="86"/>
      <c r="AC98" s="86"/>
      <c r="AD98" s="75"/>
      <c r="AE98" s="87"/>
      <c r="AF98" s="57" t="str">
        <f t="shared" si="1"/>
        <v/>
      </c>
      <c r="AG98" s="58" t="str">
        <f>IF(B98="","",$AJ$117-AF98)</f>
        <v/>
      </c>
      <c r="AH98" s="147"/>
      <c r="AI98" s="148"/>
      <c r="AJ98" s="148"/>
      <c r="AK98" s="148"/>
      <c r="AL98" s="148"/>
      <c r="AM98" s="149"/>
    </row>
    <row r="99" spans="1:39" ht="21.9" customHeight="1" x14ac:dyDescent="0.35">
      <c r="A99" s="99">
        <v>36</v>
      </c>
      <c r="B99" s="129"/>
      <c r="C99" s="123"/>
      <c r="D99" s="123"/>
      <c r="E99" s="123"/>
      <c r="F99" s="123"/>
      <c r="G99" s="100"/>
      <c r="H99" s="101"/>
      <c r="I99" s="86"/>
      <c r="J99" s="86"/>
      <c r="K99" s="87"/>
      <c r="L99" s="88"/>
      <c r="M99" s="86"/>
      <c r="N99" s="86"/>
      <c r="O99" s="86"/>
      <c r="P99" s="75"/>
      <c r="Q99" s="89"/>
      <c r="R99" s="86"/>
      <c r="S99" s="86"/>
      <c r="T99" s="86"/>
      <c r="U99" s="87"/>
      <c r="V99" s="88"/>
      <c r="W99" s="86"/>
      <c r="X99" s="86"/>
      <c r="Y99" s="86"/>
      <c r="Z99" s="75"/>
      <c r="AA99" s="89"/>
      <c r="AB99" s="86"/>
      <c r="AC99" s="86"/>
      <c r="AD99" s="75"/>
      <c r="AE99" s="87"/>
      <c r="AF99" s="57" t="str">
        <f t="shared" si="1"/>
        <v/>
      </c>
      <c r="AG99" s="58" t="str">
        <f>IF(B99="","",$AJ$117-AF99)</f>
        <v/>
      </c>
      <c r="AH99" s="147"/>
      <c r="AI99" s="148"/>
      <c r="AJ99" s="148"/>
      <c r="AK99" s="148"/>
      <c r="AL99" s="148"/>
      <c r="AM99" s="149"/>
    </row>
    <row r="100" spans="1:39" ht="21.9" customHeight="1" x14ac:dyDescent="0.35">
      <c r="A100" s="89">
        <v>37</v>
      </c>
      <c r="B100" s="129"/>
      <c r="C100" s="123"/>
      <c r="D100" s="123"/>
      <c r="E100" s="123"/>
      <c r="F100" s="123"/>
      <c r="G100" s="100"/>
      <c r="H100" s="101"/>
      <c r="I100" s="86"/>
      <c r="J100" s="86"/>
      <c r="K100" s="87"/>
      <c r="L100" s="88"/>
      <c r="M100" s="86"/>
      <c r="N100" s="86"/>
      <c r="O100" s="86"/>
      <c r="P100" s="75"/>
      <c r="Q100" s="89"/>
      <c r="R100" s="86"/>
      <c r="S100" s="86"/>
      <c r="T100" s="86"/>
      <c r="U100" s="87"/>
      <c r="V100" s="88"/>
      <c r="W100" s="86"/>
      <c r="X100" s="86"/>
      <c r="Y100" s="86"/>
      <c r="Z100" s="75"/>
      <c r="AA100" s="89"/>
      <c r="AB100" s="86"/>
      <c r="AC100" s="86"/>
      <c r="AD100" s="75"/>
      <c r="AE100" s="87"/>
      <c r="AF100" s="57" t="str">
        <f t="shared" si="1"/>
        <v/>
      </c>
      <c r="AG100" s="58" t="str">
        <f>IF(B100="","",$AJ$117-AF100)</f>
        <v/>
      </c>
      <c r="AH100" s="147"/>
      <c r="AI100" s="148"/>
      <c r="AJ100" s="148"/>
      <c r="AK100" s="148"/>
      <c r="AL100" s="148"/>
      <c r="AM100" s="149"/>
    </row>
    <row r="101" spans="1:39" ht="21.9" customHeight="1" x14ac:dyDescent="0.35">
      <c r="A101" s="99">
        <v>38</v>
      </c>
      <c r="B101" s="129"/>
      <c r="C101" s="123"/>
      <c r="D101" s="123"/>
      <c r="E101" s="123"/>
      <c r="F101" s="123"/>
      <c r="G101" s="100"/>
      <c r="H101" s="101"/>
      <c r="I101" s="86"/>
      <c r="J101" s="86"/>
      <c r="K101" s="87"/>
      <c r="L101" s="88"/>
      <c r="M101" s="86"/>
      <c r="N101" s="86"/>
      <c r="O101" s="86"/>
      <c r="P101" s="75"/>
      <c r="Q101" s="89"/>
      <c r="R101" s="86"/>
      <c r="S101" s="86"/>
      <c r="T101" s="86"/>
      <c r="U101" s="87"/>
      <c r="V101" s="88"/>
      <c r="W101" s="86"/>
      <c r="X101" s="86"/>
      <c r="Y101" s="86"/>
      <c r="Z101" s="75"/>
      <c r="AA101" s="89"/>
      <c r="AB101" s="86"/>
      <c r="AC101" s="86"/>
      <c r="AD101" s="75"/>
      <c r="AE101" s="87"/>
      <c r="AF101" s="57" t="str">
        <f t="shared" si="1"/>
        <v/>
      </c>
      <c r="AG101" s="58" t="str">
        <f>IF(B101="","",$AJ$117-AF101)</f>
        <v/>
      </c>
      <c r="AH101" s="147"/>
      <c r="AI101" s="148"/>
      <c r="AJ101" s="148"/>
      <c r="AK101" s="148"/>
      <c r="AL101" s="148"/>
      <c r="AM101" s="149"/>
    </row>
    <row r="102" spans="1:39" ht="21.9" customHeight="1" x14ac:dyDescent="0.35">
      <c r="A102" s="99">
        <v>39</v>
      </c>
      <c r="B102" s="129"/>
      <c r="C102" s="123"/>
      <c r="D102" s="123"/>
      <c r="E102" s="123"/>
      <c r="F102" s="123"/>
      <c r="G102" s="100"/>
      <c r="H102" s="101"/>
      <c r="I102" s="86"/>
      <c r="J102" s="86"/>
      <c r="K102" s="87"/>
      <c r="L102" s="88"/>
      <c r="M102" s="86"/>
      <c r="N102" s="86"/>
      <c r="O102" s="86"/>
      <c r="P102" s="75"/>
      <c r="Q102" s="89"/>
      <c r="R102" s="86"/>
      <c r="S102" s="86"/>
      <c r="T102" s="86"/>
      <c r="U102" s="87"/>
      <c r="V102" s="88"/>
      <c r="W102" s="86"/>
      <c r="X102" s="86"/>
      <c r="Y102" s="86"/>
      <c r="Z102" s="75"/>
      <c r="AA102" s="89"/>
      <c r="AB102" s="86"/>
      <c r="AC102" s="86"/>
      <c r="AD102" s="75"/>
      <c r="AE102" s="87"/>
      <c r="AF102" s="57" t="str">
        <f t="shared" si="1"/>
        <v/>
      </c>
      <c r="AG102" s="58" t="str">
        <f>IF(B102="","",$AJ$117-AF102)</f>
        <v/>
      </c>
      <c r="AH102" s="147"/>
      <c r="AI102" s="148"/>
      <c r="AJ102" s="148"/>
      <c r="AK102" s="148"/>
      <c r="AL102" s="148"/>
      <c r="AM102" s="149"/>
    </row>
    <row r="103" spans="1:39" ht="21.9" customHeight="1" x14ac:dyDescent="0.35">
      <c r="A103" s="89">
        <v>40</v>
      </c>
      <c r="B103" s="129"/>
      <c r="C103" s="123"/>
      <c r="D103" s="123"/>
      <c r="E103" s="123"/>
      <c r="F103" s="123"/>
      <c r="G103" s="100"/>
      <c r="H103" s="101"/>
      <c r="I103" s="86"/>
      <c r="J103" s="86"/>
      <c r="K103" s="87"/>
      <c r="L103" s="88"/>
      <c r="M103" s="86"/>
      <c r="N103" s="86"/>
      <c r="O103" s="86"/>
      <c r="P103" s="75"/>
      <c r="Q103" s="89"/>
      <c r="R103" s="86"/>
      <c r="S103" s="86"/>
      <c r="T103" s="86"/>
      <c r="U103" s="87"/>
      <c r="V103" s="88"/>
      <c r="W103" s="86"/>
      <c r="X103" s="86"/>
      <c r="Y103" s="86"/>
      <c r="Z103" s="75"/>
      <c r="AA103" s="89"/>
      <c r="AB103" s="86"/>
      <c r="AC103" s="86"/>
      <c r="AD103" s="75"/>
      <c r="AE103" s="87"/>
      <c r="AF103" s="57" t="str">
        <f t="shared" si="1"/>
        <v/>
      </c>
      <c r="AG103" s="58" t="str">
        <f>IF(B103="","",$AJ$117-AF103)</f>
        <v/>
      </c>
      <c r="AH103" s="147"/>
      <c r="AI103" s="148"/>
      <c r="AJ103" s="148"/>
      <c r="AK103" s="148"/>
      <c r="AL103" s="148"/>
      <c r="AM103" s="149"/>
    </row>
    <row r="104" spans="1:39" ht="21.9" customHeight="1" x14ac:dyDescent="0.35">
      <c r="A104" s="99">
        <v>41</v>
      </c>
      <c r="B104" s="129"/>
      <c r="C104" s="123"/>
      <c r="D104" s="123"/>
      <c r="E104" s="123"/>
      <c r="F104" s="123"/>
      <c r="G104" s="100"/>
      <c r="H104" s="101"/>
      <c r="I104" s="86"/>
      <c r="J104" s="86"/>
      <c r="K104" s="87"/>
      <c r="L104" s="88"/>
      <c r="M104" s="86"/>
      <c r="N104" s="86"/>
      <c r="O104" s="86"/>
      <c r="P104" s="75"/>
      <c r="Q104" s="89"/>
      <c r="R104" s="86"/>
      <c r="S104" s="86"/>
      <c r="T104" s="86"/>
      <c r="U104" s="87"/>
      <c r="V104" s="88"/>
      <c r="W104" s="86"/>
      <c r="X104" s="86"/>
      <c r="Y104" s="86"/>
      <c r="Z104" s="75"/>
      <c r="AA104" s="89"/>
      <c r="AB104" s="86"/>
      <c r="AC104" s="86"/>
      <c r="AD104" s="75"/>
      <c r="AE104" s="87"/>
      <c r="AF104" s="57" t="str">
        <f t="shared" si="1"/>
        <v/>
      </c>
      <c r="AG104" s="58" t="str">
        <f>IF(B104="","",$AJ$117-AF104)</f>
        <v/>
      </c>
      <c r="AH104" s="147"/>
      <c r="AI104" s="148"/>
      <c r="AJ104" s="148"/>
      <c r="AK104" s="148"/>
      <c r="AL104" s="148"/>
      <c r="AM104" s="149"/>
    </row>
    <row r="105" spans="1:39" ht="21.9" customHeight="1" x14ac:dyDescent="0.35">
      <c r="A105" s="99">
        <v>42</v>
      </c>
      <c r="B105" s="127"/>
      <c r="C105" s="115"/>
      <c r="D105" s="115"/>
      <c r="E105" s="115"/>
      <c r="F105" s="115"/>
      <c r="G105" s="89"/>
      <c r="H105" s="86"/>
      <c r="I105" s="86"/>
      <c r="J105" s="86"/>
      <c r="K105" s="87"/>
      <c r="L105" s="88"/>
      <c r="M105" s="86"/>
      <c r="N105" s="86"/>
      <c r="O105" s="86"/>
      <c r="P105" s="75"/>
      <c r="Q105" s="89"/>
      <c r="R105" s="86"/>
      <c r="S105" s="86"/>
      <c r="T105" s="86"/>
      <c r="U105" s="87"/>
      <c r="V105" s="88"/>
      <c r="W105" s="86"/>
      <c r="X105" s="86"/>
      <c r="Y105" s="86"/>
      <c r="Z105" s="75"/>
      <c r="AA105" s="89"/>
      <c r="AB105" s="86"/>
      <c r="AC105" s="86"/>
      <c r="AD105" s="75"/>
      <c r="AE105" s="87"/>
      <c r="AF105" s="57" t="str">
        <f t="shared" si="1"/>
        <v/>
      </c>
      <c r="AG105" s="58" t="str">
        <f>IF(B105="","",$AJ$117-AF105)</f>
        <v/>
      </c>
      <c r="AH105" s="147"/>
      <c r="AI105" s="148"/>
      <c r="AJ105" s="148"/>
      <c r="AK105" s="148"/>
      <c r="AL105" s="148"/>
      <c r="AM105" s="149"/>
    </row>
    <row r="106" spans="1:39" ht="21.9" customHeight="1" x14ac:dyDescent="0.35">
      <c r="A106" s="89">
        <v>43</v>
      </c>
      <c r="B106" s="127"/>
      <c r="C106" s="115"/>
      <c r="D106" s="115"/>
      <c r="E106" s="115"/>
      <c r="F106" s="115"/>
      <c r="G106" s="89"/>
      <c r="H106" s="86"/>
      <c r="I106" s="86"/>
      <c r="J106" s="86"/>
      <c r="K106" s="87"/>
      <c r="L106" s="88"/>
      <c r="M106" s="86"/>
      <c r="N106" s="86"/>
      <c r="O106" s="86"/>
      <c r="P106" s="75"/>
      <c r="Q106" s="89"/>
      <c r="R106" s="86"/>
      <c r="S106" s="86"/>
      <c r="T106" s="86"/>
      <c r="U106" s="87"/>
      <c r="V106" s="88"/>
      <c r="W106" s="86"/>
      <c r="X106" s="86"/>
      <c r="Y106" s="86"/>
      <c r="Z106" s="75"/>
      <c r="AA106" s="89"/>
      <c r="AB106" s="86"/>
      <c r="AC106" s="86"/>
      <c r="AD106" s="75"/>
      <c r="AE106" s="87"/>
      <c r="AF106" s="57" t="str">
        <f t="shared" si="1"/>
        <v/>
      </c>
      <c r="AG106" s="58" t="str">
        <f>IF(B106="","",$AJ$117-AF106)</f>
        <v/>
      </c>
      <c r="AH106" s="147"/>
      <c r="AI106" s="148"/>
      <c r="AJ106" s="148"/>
      <c r="AK106" s="148"/>
      <c r="AL106" s="148"/>
      <c r="AM106" s="149"/>
    </row>
    <row r="107" spans="1:39" ht="21.9" customHeight="1" x14ac:dyDescent="0.35">
      <c r="A107" s="99">
        <v>44</v>
      </c>
      <c r="B107" s="127"/>
      <c r="C107" s="115"/>
      <c r="D107" s="115"/>
      <c r="E107" s="115"/>
      <c r="F107" s="115"/>
      <c r="G107" s="89"/>
      <c r="H107" s="86"/>
      <c r="I107" s="86"/>
      <c r="J107" s="86"/>
      <c r="K107" s="87"/>
      <c r="L107" s="88"/>
      <c r="M107" s="86"/>
      <c r="N107" s="86"/>
      <c r="O107" s="86"/>
      <c r="P107" s="75"/>
      <c r="Q107" s="89"/>
      <c r="R107" s="86"/>
      <c r="S107" s="86"/>
      <c r="T107" s="86"/>
      <c r="U107" s="87"/>
      <c r="V107" s="88"/>
      <c r="W107" s="86"/>
      <c r="X107" s="86"/>
      <c r="Y107" s="86"/>
      <c r="Z107" s="75"/>
      <c r="AA107" s="89"/>
      <c r="AB107" s="86"/>
      <c r="AC107" s="86"/>
      <c r="AD107" s="75"/>
      <c r="AE107" s="87"/>
      <c r="AF107" s="57" t="str">
        <f t="shared" si="1"/>
        <v/>
      </c>
      <c r="AG107" s="58" t="str">
        <f>IF(B107="","",$AJ$117-AF107)</f>
        <v/>
      </c>
      <c r="AH107" s="147"/>
      <c r="AI107" s="148"/>
      <c r="AJ107" s="148"/>
      <c r="AK107" s="148"/>
      <c r="AL107" s="148"/>
      <c r="AM107" s="149"/>
    </row>
    <row r="108" spans="1:39" ht="21.9" customHeight="1" x14ac:dyDescent="0.35">
      <c r="A108" s="99">
        <v>45</v>
      </c>
      <c r="B108" s="127"/>
      <c r="C108" s="115"/>
      <c r="D108" s="115"/>
      <c r="E108" s="115"/>
      <c r="F108" s="115"/>
      <c r="G108" s="89"/>
      <c r="H108" s="86"/>
      <c r="I108" s="86"/>
      <c r="J108" s="86"/>
      <c r="K108" s="87"/>
      <c r="L108" s="88"/>
      <c r="M108" s="86"/>
      <c r="N108" s="86"/>
      <c r="O108" s="86"/>
      <c r="P108" s="75"/>
      <c r="Q108" s="89"/>
      <c r="R108" s="86"/>
      <c r="S108" s="86"/>
      <c r="T108" s="86"/>
      <c r="U108" s="87"/>
      <c r="V108" s="88"/>
      <c r="W108" s="86"/>
      <c r="X108" s="86"/>
      <c r="Y108" s="86"/>
      <c r="Z108" s="75"/>
      <c r="AA108" s="89"/>
      <c r="AB108" s="86"/>
      <c r="AC108" s="86"/>
      <c r="AD108" s="75"/>
      <c r="AE108" s="87"/>
      <c r="AF108" s="57" t="str">
        <f t="shared" si="1"/>
        <v/>
      </c>
      <c r="AG108" s="58" t="str">
        <f>IF(B108="","",$AJ$117-AF108)</f>
        <v/>
      </c>
      <c r="AH108" s="147"/>
      <c r="AI108" s="148"/>
      <c r="AJ108" s="148"/>
      <c r="AK108" s="148"/>
      <c r="AL108" s="148"/>
      <c r="AM108" s="149"/>
    </row>
    <row r="109" spans="1:39" ht="21.9" customHeight="1" x14ac:dyDescent="0.35">
      <c r="A109" s="89">
        <v>46</v>
      </c>
      <c r="B109" s="127"/>
      <c r="C109" s="115"/>
      <c r="D109" s="115"/>
      <c r="E109" s="115"/>
      <c r="F109" s="115"/>
      <c r="G109" s="89"/>
      <c r="H109" s="86"/>
      <c r="I109" s="86"/>
      <c r="J109" s="86"/>
      <c r="K109" s="87"/>
      <c r="L109" s="88"/>
      <c r="M109" s="86"/>
      <c r="N109" s="86"/>
      <c r="O109" s="86"/>
      <c r="P109" s="75"/>
      <c r="Q109" s="89"/>
      <c r="R109" s="86"/>
      <c r="S109" s="86"/>
      <c r="T109" s="86"/>
      <c r="U109" s="87"/>
      <c r="V109" s="88"/>
      <c r="W109" s="86"/>
      <c r="X109" s="86"/>
      <c r="Y109" s="86"/>
      <c r="Z109" s="75"/>
      <c r="AA109" s="89"/>
      <c r="AB109" s="86"/>
      <c r="AC109" s="86"/>
      <c r="AD109" s="75"/>
      <c r="AE109" s="87"/>
      <c r="AF109" s="57" t="str">
        <f t="shared" si="1"/>
        <v/>
      </c>
      <c r="AG109" s="58" t="str">
        <f>IF(B109="","",$AJ$117-AF109)</f>
        <v/>
      </c>
      <c r="AH109" s="147"/>
      <c r="AI109" s="148"/>
      <c r="AJ109" s="148"/>
      <c r="AK109" s="148"/>
      <c r="AL109" s="148"/>
      <c r="AM109" s="149"/>
    </row>
    <row r="110" spans="1:39" ht="21.9" customHeight="1" x14ac:dyDescent="0.35">
      <c r="A110" s="99">
        <v>47</v>
      </c>
      <c r="B110" s="127"/>
      <c r="C110" s="115"/>
      <c r="D110" s="115"/>
      <c r="E110" s="115"/>
      <c r="F110" s="115"/>
      <c r="G110" s="89"/>
      <c r="H110" s="86"/>
      <c r="I110" s="86"/>
      <c r="J110" s="86"/>
      <c r="K110" s="87"/>
      <c r="L110" s="88"/>
      <c r="M110" s="86"/>
      <c r="N110" s="86"/>
      <c r="O110" s="86"/>
      <c r="P110" s="75"/>
      <c r="Q110" s="89"/>
      <c r="R110" s="86"/>
      <c r="S110" s="86"/>
      <c r="T110" s="86"/>
      <c r="U110" s="87"/>
      <c r="V110" s="88"/>
      <c r="W110" s="86"/>
      <c r="X110" s="86"/>
      <c r="Y110" s="86"/>
      <c r="Z110" s="75"/>
      <c r="AA110" s="89"/>
      <c r="AB110" s="86"/>
      <c r="AC110" s="86"/>
      <c r="AD110" s="75"/>
      <c r="AE110" s="87"/>
      <c r="AF110" s="57" t="str">
        <f t="shared" si="1"/>
        <v/>
      </c>
      <c r="AG110" s="58" t="str">
        <f>IF(B110="","",$AJ$117-AF110)</f>
        <v/>
      </c>
      <c r="AH110" s="147"/>
      <c r="AI110" s="148"/>
      <c r="AJ110" s="148"/>
      <c r="AK110" s="148"/>
      <c r="AL110" s="148"/>
      <c r="AM110" s="149"/>
    </row>
    <row r="111" spans="1:39" ht="21.9" customHeight="1" x14ac:dyDescent="0.35">
      <c r="A111" s="99">
        <v>48</v>
      </c>
      <c r="B111" s="127"/>
      <c r="C111" s="115"/>
      <c r="D111" s="115"/>
      <c r="E111" s="115"/>
      <c r="F111" s="115"/>
      <c r="G111" s="89"/>
      <c r="H111" s="86"/>
      <c r="I111" s="86"/>
      <c r="J111" s="86"/>
      <c r="K111" s="87"/>
      <c r="L111" s="88"/>
      <c r="M111" s="86"/>
      <c r="N111" s="86"/>
      <c r="O111" s="86"/>
      <c r="P111" s="75"/>
      <c r="Q111" s="89"/>
      <c r="R111" s="86"/>
      <c r="S111" s="86"/>
      <c r="T111" s="86"/>
      <c r="U111" s="87"/>
      <c r="V111" s="88"/>
      <c r="W111" s="86"/>
      <c r="X111" s="86"/>
      <c r="Y111" s="86"/>
      <c r="Z111" s="75"/>
      <c r="AA111" s="89"/>
      <c r="AB111" s="86"/>
      <c r="AC111" s="86"/>
      <c r="AD111" s="75"/>
      <c r="AE111" s="87"/>
      <c r="AF111" s="57" t="str">
        <f t="shared" si="1"/>
        <v/>
      </c>
      <c r="AG111" s="58" t="str">
        <f>IF(B111="","",$AJ$117-AF111)</f>
        <v/>
      </c>
      <c r="AH111" s="147"/>
      <c r="AI111" s="148"/>
      <c r="AJ111" s="148"/>
      <c r="AK111" s="148"/>
      <c r="AL111" s="148"/>
      <c r="AM111" s="149"/>
    </row>
    <row r="112" spans="1:39" ht="21.9" customHeight="1" x14ac:dyDescent="0.35">
      <c r="A112" s="89">
        <v>49</v>
      </c>
      <c r="B112" s="127"/>
      <c r="C112" s="115"/>
      <c r="D112" s="115"/>
      <c r="E112" s="115"/>
      <c r="F112" s="115"/>
      <c r="G112" s="89"/>
      <c r="H112" s="86"/>
      <c r="I112" s="86"/>
      <c r="J112" s="86"/>
      <c r="K112" s="87"/>
      <c r="L112" s="88"/>
      <c r="M112" s="86"/>
      <c r="N112" s="86"/>
      <c r="O112" s="86"/>
      <c r="P112" s="75"/>
      <c r="Q112" s="89"/>
      <c r="R112" s="86"/>
      <c r="S112" s="86"/>
      <c r="T112" s="86"/>
      <c r="U112" s="87"/>
      <c r="V112" s="88"/>
      <c r="W112" s="86"/>
      <c r="X112" s="86"/>
      <c r="Y112" s="86"/>
      <c r="Z112" s="75"/>
      <c r="AA112" s="89"/>
      <c r="AB112" s="86"/>
      <c r="AC112" s="86"/>
      <c r="AD112" s="75"/>
      <c r="AE112" s="87"/>
      <c r="AF112" s="57" t="str">
        <f t="shared" si="1"/>
        <v/>
      </c>
      <c r="AG112" s="58" t="str">
        <f>IF(B112="","",$AJ$117-AF112)</f>
        <v/>
      </c>
      <c r="AH112" s="147"/>
      <c r="AI112" s="148"/>
      <c r="AJ112" s="148"/>
      <c r="AK112" s="148"/>
      <c r="AL112" s="148"/>
      <c r="AM112" s="149"/>
    </row>
    <row r="113" spans="1:39" ht="21.9" customHeight="1" thickBot="1" x14ac:dyDescent="0.4">
      <c r="A113" s="90">
        <v>50</v>
      </c>
      <c r="B113" s="128"/>
      <c r="C113" s="121"/>
      <c r="D113" s="121"/>
      <c r="E113" s="121"/>
      <c r="F113" s="121"/>
      <c r="G113" s="90"/>
      <c r="H113" s="91"/>
      <c r="I113" s="91"/>
      <c r="J113" s="91"/>
      <c r="K113" s="92"/>
      <c r="L113" s="93"/>
      <c r="M113" s="91"/>
      <c r="N113" s="91"/>
      <c r="O113" s="91"/>
      <c r="P113" s="76"/>
      <c r="Q113" s="90"/>
      <c r="R113" s="91"/>
      <c r="S113" s="91"/>
      <c r="T113" s="91"/>
      <c r="U113" s="92"/>
      <c r="V113" s="93"/>
      <c r="W113" s="91"/>
      <c r="X113" s="91"/>
      <c r="Y113" s="91"/>
      <c r="Z113" s="76"/>
      <c r="AA113" s="90"/>
      <c r="AB113" s="91"/>
      <c r="AC113" s="91"/>
      <c r="AD113" s="76"/>
      <c r="AE113" s="92"/>
      <c r="AF113" s="61" t="str">
        <f t="shared" si="1"/>
        <v/>
      </c>
      <c r="AG113" s="62" t="str">
        <f>IF(B113="","",$AJ$117-AF113)</f>
        <v/>
      </c>
      <c r="AH113" s="184"/>
      <c r="AI113" s="171"/>
      <c r="AJ113" s="171"/>
      <c r="AK113" s="171"/>
      <c r="AL113" s="171"/>
      <c r="AM113" s="172"/>
    </row>
    <row r="114" spans="1:39" ht="21.9" customHeight="1" thickBot="1" x14ac:dyDescent="0.4">
      <c r="A114" s="173" t="s">
        <v>71</v>
      </c>
      <c r="B114" s="174"/>
      <c r="C114" s="108"/>
      <c r="D114" s="108"/>
      <c r="E114" s="108"/>
      <c r="F114" s="108"/>
      <c r="G114" s="71">
        <f>IF(G10="","",COUNTA($B$64:$B$113)-(COUNTIF(G64:G113,"x") + COUNTIF(G64:G113,"h")*0.5))</f>
        <v>0</v>
      </c>
      <c r="H114" s="66">
        <f>IF(H10="","",COUNTA($B$64:$B$113)-(COUNTIF(H64:H113,"x") + COUNTIF(H64:H113,"h")*0.5))</f>
        <v>0</v>
      </c>
      <c r="I114" s="66">
        <f>IF(I10="","",COUNTA($B$64:$B$113)-(COUNTIF(I64:I113,"x") + COUNTIF(I64:I113,"h")*0.5))</f>
        <v>0</v>
      </c>
      <c r="J114" s="66">
        <f>IF(J10="","",COUNTA($B$64:$B$113)-(COUNTIF(J64:J113,"x") + COUNTIF(J64:J113,"h")*0.5))</f>
        <v>0</v>
      </c>
      <c r="K114" s="67">
        <f>IF(K10="","",COUNTA($B$64:$B$113)-(COUNTIF(K64:K113,"x") + COUNTIF(K64:K113,"h")*0.5))</f>
        <v>0</v>
      </c>
      <c r="L114" s="71">
        <f>IF(L10="","",COUNTA($B$64:$B$113)-(COUNTIF(L64:L113,"x") + COUNTIF(L64:L113,"h")*0.5))</f>
        <v>0</v>
      </c>
      <c r="M114" s="66">
        <f>IF(M10="","",COUNTA($B$64:$B$113)-(COUNTIF(M64:M113,"x") + COUNTIF(M64:M113,"h")*0.5))</f>
        <v>0</v>
      </c>
      <c r="N114" s="66">
        <f>IF(N10="","",COUNTA($B$64:$B$113)-(COUNTIF(N64:N113,"x") + COUNTIF(N64:N113,"h")*0.5))</f>
        <v>0</v>
      </c>
      <c r="O114" s="66">
        <f>IF(O10="","",COUNTA($B$64:$B$113)-(COUNTIF(O64:O113,"x") + COUNTIF(O64:O113,"h")*0.5))</f>
        <v>0</v>
      </c>
      <c r="P114" s="67">
        <f>IF(P10="","",COUNTA($B$64:$B$113)-(COUNTIF(P64:P113,"x") + COUNTIF(P64:P113,"h")*0.5))</f>
        <v>0</v>
      </c>
      <c r="Q114" s="71">
        <f>IF(Q10="","",COUNTA($B$64:$B$113)-(COUNTIF(Q64:Q113,"x") + COUNTIF(Q64:Q113,"h")*0.5))</f>
        <v>0</v>
      </c>
      <c r="R114" s="66">
        <f>IF(R10="","",COUNTA($B$64:$B$113)-(COUNTIF(R64:R113,"x") + COUNTIF(R64:R113,"h")*0.5))</f>
        <v>0</v>
      </c>
      <c r="S114" s="66">
        <f>IF(S10="","",COUNTA($B$64:$B$113)-(COUNTIF(S64:S113,"x") + COUNTIF(S64:S113,"h")*0.5))</f>
        <v>0</v>
      </c>
      <c r="T114" s="66">
        <f>IF(T10="","",COUNTA($B$64:$B$113)-(COUNTIF(T64:T113,"x") + COUNTIF(T64:T113,"h")*0.5))</f>
        <v>0</v>
      </c>
      <c r="U114" s="67">
        <f>IF(U10="","",COUNTA($B$64:$B$113)-(COUNTIF(U64:U113,"x") + COUNTIF(U64:U113,"h")*0.5))</f>
        <v>0</v>
      </c>
      <c r="V114" s="71">
        <f>IF(V10="","",COUNTA($B$64:$B$113)-(COUNTIF(V64:V113,"x") + COUNTIF(V64:V113,"h")*0.5))</f>
        <v>0</v>
      </c>
      <c r="W114" s="66">
        <f>IF(W10="","",COUNTA($B$64:$B$113)-(COUNTIF(W64:W113,"x") + COUNTIF(W64:W113,"h")*0.5))</f>
        <v>0</v>
      </c>
      <c r="X114" s="66">
        <f>IF(X10="","",COUNTA($B$64:$B$113)-(COUNTIF(X64:X113,"x") + COUNTIF(X64:X113,"h")*0.5))</f>
        <v>0</v>
      </c>
      <c r="Y114" s="66">
        <f>IF(Y10="","",COUNTA($B$64:$B$113)-(COUNTIF(Y64:Y113,"x") + COUNTIF(Y64:Y113,"h")*0.5))</f>
        <v>0</v>
      </c>
      <c r="Z114" s="67">
        <f>IF(Z10="","",COUNTA($B$64:$B$113)-(COUNTIF(Z64:Z113,"x") + COUNTIF(Z64:Z113,"h")*0.5))</f>
        <v>0</v>
      </c>
      <c r="AA114" s="71">
        <f>IF(AA10="","",COUNTA($B$64:$B$113)-(COUNTIF(AA64:AA113,"x") + COUNTIF(AA64:AA113,"h")*0.5))</f>
        <v>0</v>
      </c>
      <c r="AB114" s="66">
        <f>IF(AB10="","",COUNTA($B$64:$B$113)-(COUNTIF(AB64:AB113,"x") + COUNTIF(AB64:AB113,"h")*0.5))</f>
        <v>0</v>
      </c>
      <c r="AC114" s="66" t="str">
        <f>IF(AC10="","",COUNTA($B$64:$B$113)-(COUNTIF(AC64:AC113,"x") + COUNTIF(AC64:AC113,"h")*0.5))</f>
        <v/>
      </c>
      <c r="AD114" s="66" t="str">
        <f>IF(AD10="","",COUNTA($B$64:$B$113)-(COUNTIF(AD64:AD113,"x") + COUNTIF(AD64:AD113,"h")*0.5))</f>
        <v/>
      </c>
      <c r="AE114" s="67" t="str">
        <f>IF(AE10="","",COUNTA($B$64:$B$113)-(COUNTIF(AE64:AE113,"x") + COUNTIF(AE64:AE113,"h")*0.5))</f>
        <v/>
      </c>
      <c r="AF114" s="59">
        <f>SUM(AF64:AF113)</f>
        <v>0</v>
      </c>
      <c r="AG114" s="60">
        <f>SUM(AG64:AG113)</f>
        <v>0</v>
      </c>
      <c r="AH114" s="175"/>
      <c r="AI114" s="176"/>
      <c r="AJ114" s="176"/>
      <c r="AK114" s="176"/>
      <c r="AL114" s="176"/>
      <c r="AM114" s="177"/>
    </row>
    <row r="115" spans="1:39" ht="21.9" customHeight="1" thickBot="1" x14ac:dyDescent="0.4">
      <c r="A115" s="178" t="s">
        <v>61</v>
      </c>
      <c r="B115" s="178"/>
      <c r="C115" s="124"/>
      <c r="D115" s="124"/>
      <c r="E115" s="124"/>
      <c r="F115" s="124"/>
      <c r="G115" s="72">
        <f>IF(G10="","",G63+G114)</f>
        <v>0</v>
      </c>
      <c r="H115" s="73">
        <f>IF(H10="","",H63+H114)</f>
        <v>0</v>
      </c>
      <c r="I115" s="73">
        <f>IF(I10="","",I63+I114)</f>
        <v>0</v>
      </c>
      <c r="J115" s="73">
        <f>IF(J10="","",J63+J114)</f>
        <v>0</v>
      </c>
      <c r="K115" s="74">
        <f>IF(K10="","",K63+K114)</f>
        <v>0</v>
      </c>
      <c r="L115" s="72">
        <f>IF(L10="","",L63+L114)</f>
        <v>0</v>
      </c>
      <c r="M115" s="73">
        <f>IF(M10="","",M63+M114)</f>
        <v>0</v>
      </c>
      <c r="N115" s="73">
        <f>IF(N10="","",N63+N114)</f>
        <v>0</v>
      </c>
      <c r="O115" s="73">
        <f>IF(O10="","",O63+O114)</f>
        <v>0</v>
      </c>
      <c r="P115" s="74">
        <f>IF(P10="","",P63+P114)</f>
        <v>0</v>
      </c>
      <c r="Q115" s="72">
        <f>IF(Q10="","",Q63+Q114)</f>
        <v>0</v>
      </c>
      <c r="R115" s="73">
        <f>IF(R10="","",R63+R114)</f>
        <v>0</v>
      </c>
      <c r="S115" s="73">
        <f>IF(S10="","",S63+S114)</f>
        <v>0</v>
      </c>
      <c r="T115" s="73">
        <f>IF(T10="","",T63+T114)</f>
        <v>0</v>
      </c>
      <c r="U115" s="74">
        <f>IF(U10="","",U63+U114)</f>
        <v>0</v>
      </c>
      <c r="V115" s="72">
        <f>IF(V10="","",V63+V114)</f>
        <v>0</v>
      </c>
      <c r="W115" s="73">
        <f>IF(W10="","",W63+W114)</f>
        <v>0</v>
      </c>
      <c r="X115" s="73">
        <f>IF(X10="","",X63+X114)</f>
        <v>0</v>
      </c>
      <c r="Y115" s="73">
        <f>IF(Y10="","",Y63+Y114)</f>
        <v>0</v>
      </c>
      <c r="Z115" s="74">
        <f>IF(Z10="","",Z63+Z114)</f>
        <v>0</v>
      </c>
      <c r="AA115" s="72">
        <f>IF(AA10="","",AA63+AA114)</f>
        <v>0</v>
      </c>
      <c r="AB115" s="73">
        <f>IF(AB10="","",AB63+AB114)</f>
        <v>0</v>
      </c>
      <c r="AC115" s="73" t="str">
        <f>IF(AC10="","",AC63+AC114)</f>
        <v/>
      </c>
      <c r="AD115" s="73" t="str">
        <f>IF(AD10="","",AD63+AD114)</f>
        <v/>
      </c>
      <c r="AE115" s="74" t="str">
        <f>IF(AE10="","",AE63+AE114)</f>
        <v/>
      </c>
      <c r="AF115" s="63">
        <f>AF63+AF114</f>
        <v>0</v>
      </c>
      <c r="AG115" s="64">
        <f>AG63+AG114</f>
        <v>0</v>
      </c>
      <c r="AH115" s="179"/>
      <c r="AI115" s="180"/>
      <c r="AJ115" s="180"/>
      <c r="AK115" s="180"/>
      <c r="AL115" s="180"/>
      <c r="AM115" s="181"/>
    </row>
    <row r="116" spans="1:39" ht="6.75" customHeight="1" thickBot="1" x14ac:dyDescent="0.4">
      <c r="A116" s="182"/>
      <c r="B116" s="182"/>
      <c r="C116" s="19"/>
      <c r="D116" s="19"/>
      <c r="E116" s="19"/>
      <c r="F116" s="19"/>
      <c r="G116" s="183"/>
      <c r="H116" s="183"/>
      <c r="I116" s="183"/>
      <c r="J116" s="183"/>
      <c r="K116" s="183"/>
    </row>
    <row r="117" spans="1:39" ht="35.25" customHeight="1" thickBot="1" x14ac:dyDescent="0.35">
      <c r="A117" s="20" t="s">
        <v>33</v>
      </c>
      <c r="B117" s="21"/>
      <c r="C117" s="21"/>
      <c r="D117" s="21"/>
      <c r="E117" s="21"/>
      <c r="F117" s="21"/>
      <c r="G117" s="22"/>
      <c r="H117" s="22"/>
      <c r="I117" s="22"/>
      <c r="J117" s="22"/>
      <c r="K117" s="22"/>
      <c r="L117" s="22"/>
      <c r="M117" s="22"/>
      <c r="N117" s="22"/>
      <c r="O117" s="22"/>
      <c r="P117" s="22"/>
      <c r="Q117" s="22"/>
      <c r="R117" s="22"/>
      <c r="S117" s="23"/>
      <c r="T117" s="24" t="s">
        <v>53</v>
      </c>
      <c r="U117" s="25"/>
      <c r="V117" s="25"/>
      <c r="W117" s="25"/>
      <c r="X117" s="25"/>
      <c r="Y117" s="26"/>
      <c r="Z117" s="26"/>
      <c r="AA117" s="26"/>
      <c r="AB117" s="27"/>
      <c r="AC117" s="28"/>
      <c r="AE117" s="185" t="s">
        <v>51</v>
      </c>
      <c r="AF117" s="186"/>
      <c r="AG117" s="189" t="str">
        <f>AA6</f>
        <v>SEPTEMBER</v>
      </c>
      <c r="AH117" s="191" t="s">
        <v>52</v>
      </c>
      <c r="AI117" s="192"/>
      <c r="AJ117" s="195">
        <f>AQ9</f>
        <v>22</v>
      </c>
      <c r="AK117" s="197" t="s">
        <v>0</v>
      </c>
      <c r="AL117" s="197"/>
      <c r="AM117" s="198"/>
    </row>
    <row r="118" spans="1:39" ht="15" customHeight="1" thickBot="1" x14ac:dyDescent="0.4">
      <c r="A118" s="199" t="s">
        <v>34</v>
      </c>
      <c r="B118" s="199"/>
      <c r="C118" s="199"/>
      <c r="D118" s="199"/>
      <c r="E118" s="199"/>
      <c r="F118" s="199"/>
      <c r="G118" s="199"/>
      <c r="H118" s="199"/>
      <c r="I118" s="199"/>
      <c r="J118" s="199"/>
      <c r="K118" s="199"/>
      <c r="L118" s="199"/>
      <c r="M118" s="199"/>
      <c r="N118" s="199"/>
      <c r="O118" s="199"/>
      <c r="P118" s="199"/>
      <c r="Q118" s="199"/>
      <c r="R118" s="22"/>
      <c r="S118" s="23"/>
      <c r="T118" s="200" t="s">
        <v>65</v>
      </c>
      <c r="U118" s="201"/>
      <c r="V118" s="201"/>
      <c r="W118" s="201"/>
      <c r="X118" s="201"/>
      <c r="Y118" s="201"/>
      <c r="Z118" s="201"/>
      <c r="AA118" s="201"/>
      <c r="AB118" s="201"/>
      <c r="AC118" s="29"/>
      <c r="AE118" s="187"/>
      <c r="AF118" s="188"/>
      <c r="AG118" s="190"/>
      <c r="AH118" s="193"/>
      <c r="AI118" s="194"/>
      <c r="AJ118" s="196"/>
      <c r="AK118" s="31" t="s">
        <v>1</v>
      </c>
      <c r="AL118" s="32" t="s">
        <v>2</v>
      </c>
      <c r="AM118" s="33" t="s">
        <v>3</v>
      </c>
    </row>
    <row r="119" spans="1:39" ht="15.5" x14ac:dyDescent="0.35">
      <c r="A119" s="199" t="s">
        <v>35</v>
      </c>
      <c r="B119" s="199"/>
      <c r="C119" s="199"/>
      <c r="D119" s="199"/>
      <c r="E119" s="199"/>
      <c r="F119" s="199"/>
      <c r="G119" s="199"/>
      <c r="H119" s="199"/>
      <c r="I119" s="199"/>
      <c r="J119" s="199"/>
      <c r="K119" s="199"/>
      <c r="L119" s="199"/>
      <c r="M119" s="199"/>
      <c r="N119" s="199"/>
      <c r="O119" s="199"/>
      <c r="P119" s="199"/>
      <c r="Q119" s="199"/>
      <c r="R119" s="22"/>
      <c r="S119" s="23"/>
      <c r="T119" s="202"/>
      <c r="U119" s="203"/>
      <c r="V119" s="203"/>
      <c r="W119" s="203"/>
      <c r="X119" s="203"/>
      <c r="Y119" s="203"/>
      <c r="Z119" s="203"/>
      <c r="AA119" s="203"/>
      <c r="AB119" s="203"/>
      <c r="AC119" s="29"/>
      <c r="AE119" s="204" t="s">
        <v>80</v>
      </c>
      <c r="AF119" s="205"/>
      <c r="AG119" s="205"/>
      <c r="AH119" s="205"/>
      <c r="AI119" s="205"/>
      <c r="AJ119" s="206"/>
      <c r="AK119" s="210"/>
      <c r="AL119" s="210"/>
      <c r="AM119" s="211">
        <f>AK119+AL119</f>
        <v>0</v>
      </c>
    </row>
    <row r="120" spans="1:39" ht="15.75" customHeight="1" x14ac:dyDescent="0.35">
      <c r="A120" s="199" t="s">
        <v>44</v>
      </c>
      <c r="B120" s="199"/>
      <c r="C120" s="199"/>
      <c r="D120" s="199"/>
      <c r="E120" s="199"/>
      <c r="F120" s="199"/>
      <c r="G120" s="199"/>
      <c r="H120" s="199"/>
      <c r="I120" s="199"/>
      <c r="J120" s="199"/>
      <c r="K120" s="199"/>
      <c r="L120" s="199"/>
      <c r="M120" s="199"/>
      <c r="N120" s="199"/>
      <c r="O120" s="199"/>
      <c r="P120" s="199"/>
      <c r="Q120" s="199"/>
      <c r="R120" s="22"/>
      <c r="S120" s="23"/>
      <c r="T120" s="202"/>
      <c r="U120" s="203"/>
      <c r="V120" s="203"/>
      <c r="W120" s="203"/>
      <c r="X120" s="203"/>
      <c r="Y120" s="203"/>
      <c r="Z120" s="203"/>
      <c r="AA120" s="203"/>
      <c r="AB120" s="203"/>
      <c r="AC120" s="29"/>
      <c r="AE120" s="207"/>
      <c r="AF120" s="208"/>
      <c r="AG120" s="208"/>
      <c r="AH120" s="208"/>
      <c r="AI120" s="208"/>
      <c r="AJ120" s="209"/>
      <c r="AK120" s="139"/>
      <c r="AL120" s="139"/>
      <c r="AM120" s="212"/>
    </row>
    <row r="121" spans="1:39" ht="15.75" customHeight="1" x14ac:dyDescent="0.35">
      <c r="A121" s="213" t="s">
        <v>45</v>
      </c>
      <c r="B121" s="214" t="s">
        <v>36</v>
      </c>
      <c r="C121" s="116"/>
      <c r="D121" s="116"/>
      <c r="E121" s="116"/>
      <c r="F121" s="116"/>
      <c r="G121" s="215" t="s">
        <v>37</v>
      </c>
      <c r="H121" s="215"/>
      <c r="I121" s="215"/>
      <c r="J121" s="215"/>
      <c r="K121" s="215"/>
      <c r="L121" s="215"/>
      <c r="M121" s="215"/>
      <c r="N121" s="215"/>
      <c r="O121" s="215"/>
      <c r="P121" s="215"/>
      <c r="Q121" s="216" t="s">
        <v>38</v>
      </c>
      <c r="R121" s="216"/>
      <c r="S121" s="23"/>
      <c r="T121" s="34" t="s">
        <v>89</v>
      </c>
      <c r="Y121" s="13"/>
      <c r="AB121" s="35"/>
      <c r="AC121" s="29"/>
      <c r="AE121" s="217" t="s">
        <v>69</v>
      </c>
      <c r="AF121" s="218"/>
      <c r="AG121" s="218"/>
      <c r="AH121" s="218"/>
      <c r="AI121" s="218"/>
      <c r="AJ121" s="218"/>
      <c r="AK121" s="219">
        <v>0</v>
      </c>
      <c r="AL121" s="219">
        <v>0</v>
      </c>
      <c r="AM121" s="220">
        <f>AK121+AL121</f>
        <v>0</v>
      </c>
    </row>
    <row r="122" spans="1:39" ht="15.75" customHeight="1" x14ac:dyDescent="0.35">
      <c r="A122" s="213"/>
      <c r="B122" s="214"/>
      <c r="C122" s="116"/>
      <c r="D122" s="116"/>
      <c r="E122" s="116"/>
      <c r="F122" s="116"/>
      <c r="G122" s="221" t="s">
        <v>81</v>
      </c>
      <c r="H122" s="221"/>
      <c r="I122" s="221"/>
      <c r="J122" s="221"/>
      <c r="K122" s="221"/>
      <c r="L122" s="221"/>
      <c r="M122" s="221"/>
      <c r="N122" s="221"/>
      <c r="O122" s="221"/>
      <c r="P122" s="221"/>
      <c r="Q122" s="216"/>
      <c r="R122" s="216"/>
      <c r="S122" s="23"/>
      <c r="T122" s="34" t="s">
        <v>11</v>
      </c>
      <c r="U122" s="13"/>
      <c r="V122" s="13"/>
      <c r="W122" s="13"/>
      <c r="X122" s="13"/>
      <c r="Y122" s="13"/>
      <c r="AB122" s="35"/>
      <c r="AC122" s="29"/>
      <c r="AE122" s="217"/>
      <c r="AF122" s="218"/>
      <c r="AG122" s="218"/>
      <c r="AH122" s="218"/>
      <c r="AI122" s="218"/>
      <c r="AJ122" s="218"/>
      <c r="AK122" s="219"/>
      <c r="AL122" s="219"/>
      <c r="AM122" s="220"/>
    </row>
    <row r="123" spans="1:39" ht="18" customHeight="1" x14ac:dyDescent="0.35">
      <c r="A123" s="213" t="s">
        <v>47</v>
      </c>
      <c r="B123" s="222" t="s">
        <v>39</v>
      </c>
      <c r="C123" s="117"/>
      <c r="D123" s="117"/>
      <c r="E123" s="117"/>
      <c r="F123" s="117"/>
      <c r="G123" s="223" t="s">
        <v>40</v>
      </c>
      <c r="H123" s="223"/>
      <c r="I123" s="223"/>
      <c r="J123" s="223"/>
      <c r="K123" s="223"/>
      <c r="L123" s="223"/>
      <c r="M123" s="223"/>
      <c r="N123" s="223"/>
      <c r="O123" s="223"/>
      <c r="P123" s="223"/>
      <c r="Q123" s="36"/>
      <c r="R123" s="22"/>
      <c r="S123" s="23"/>
      <c r="T123" s="37" t="s">
        <v>12</v>
      </c>
      <c r="U123" s="13"/>
      <c r="V123" s="13"/>
      <c r="W123" s="13"/>
      <c r="X123" s="13"/>
      <c r="Y123" s="13"/>
      <c r="AB123" s="35"/>
      <c r="AC123" s="29"/>
      <c r="AE123" s="217" t="s">
        <v>66</v>
      </c>
      <c r="AF123" s="218"/>
      <c r="AG123" s="218"/>
      <c r="AH123" s="218"/>
      <c r="AI123" s="218"/>
      <c r="AJ123" s="218"/>
      <c r="AK123" s="224">
        <f>COUNTA($B$13:$B$62)</f>
        <v>0</v>
      </c>
      <c r="AL123" s="224">
        <f>COUNTA($B$64:$B$113)</f>
        <v>0</v>
      </c>
      <c r="AM123" s="211">
        <f>AK123+AL123</f>
        <v>0</v>
      </c>
    </row>
    <row r="124" spans="1:39" ht="14.25" customHeight="1" x14ac:dyDescent="0.35">
      <c r="A124" s="213"/>
      <c r="B124" s="222"/>
      <c r="C124" s="117"/>
      <c r="D124" s="117"/>
      <c r="E124" s="117"/>
      <c r="F124" s="117"/>
      <c r="G124" s="221" t="s">
        <v>63</v>
      </c>
      <c r="H124" s="221"/>
      <c r="I124" s="221"/>
      <c r="J124" s="221"/>
      <c r="K124" s="221"/>
      <c r="L124" s="221"/>
      <c r="M124" s="221"/>
      <c r="N124" s="221"/>
      <c r="O124" s="221"/>
      <c r="P124" s="221"/>
      <c r="Q124" s="22"/>
      <c r="R124" s="22"/>
      <c r="S124" s="23"/>
      <c r="T124" s="37" t="s">
        <v>13</v>
      </c>
      <c r="Y124" s="13"/>
      <c r="AB124" s="35"/>
      <c r="AC124" s="29"/>
      <c r="AE124" s="217"/>
      <c r="AF124" s="218"/>
      <c r="AG124" s="218"/>
      <c r="AH124" s="218"/>
      <c r="AI124" s="218"/>
      <c r="AJ124" s="218"/>
      <c r="AK124" s="225"/>
      <c r="AL124" s="225"/>
      <c r="AM124" s="212"/>
    </row>
    <row r="125" spans="1:39" ht="15.75" customHeight="1" x14ac:dyDescent="0.35">
      <c r="A125" s="236" t="s">
        <v>46</v>
      </c>
      <c r="B125" s="214" t="s">
        <v>41</v>
      </c>
      <c r="C125" s="116"/>
      <c r="D125" s="116"/>
      <c r="E125" s="116"/>
      <c r="F125" s="116"/>
      <c r="G125" s="215" t="s">
        <v>42</v>
      </c>
      <c r="H125" s="215"/>
      <c r="I125" s="215"/>
      <c r="J125" s="215"/>
      <c r="K125" s="215"/>
      <c r="L125" s="215"/>
      <c r="M125" s="215"/>
      <c r="N125" s="215"/>
      <c r="O125" s="215"/>
      <c r="P125" s="215"/>
      <c r="Q125" s="216" t="s">
        <v>38</v>
      </c>
      <c r="R125" s="216"/>
      <c r="S125" s="23"/>
      <c r="T125" s="37" t="s">
        <v>14</v>
      </c>
      <c r="AB125" s="35"/>
      <c r="AC125" s="29"/>
      <c r="AE125" s="237" t="s">
        <v>67</v>
      </c>
      <c r="AF125" s="238"/>
      <c r="AG125" s="238"/>
      <c r="AH125" s="238"/>
      <c r="AI125" s="238"/>
      <c r="AJ125" s="238"/>
      <c r="AK125" s="226" t="e">
        <f>AK123/AK119</f>
        <v>#DIV/0!</v>
      </c>
      <c r="AL125" s="226" t="e">
        <f>AL123/AL119</f>
        <v>#DIV/0!</v>
      </c>
      <c r="AM125" s="228" t="e">
        <f>AM123/AM119</f>
        <v>#DIV/0!</v>
      </c>
    </row>
    <row r="126" spans="1:39" ht="19.5" customHeight="1" x14ac:dyDescent="0.35">
      <c r="A126" s="236"/>
      <c r="B126" s="214"/>
      <c r="C126" s="116"/>
      <c r="D126" s="116"/>
      <c r="E126" s="116"/>
      <c r="F126" s="116"/>
      <c r="G126" s="216" t="s">
        <v>43</v>
      </c>
      <c r="H126" s="216"/>
      <c r="I126" s="216"/>
      <c r="J126" s="216"/>
      <c r="K126" s="216"/>
      <c r="L126" s="216"/>
      <c r="M126" s="216"/>
      <c r="N126" s="216"/>
      <c r="O126" s="216"/>
      <c r="P126" s="216"/>
      <c r="Q126" s="216"/>
      <c r="R126" s="216"/>
      <c r="S126" s="23"/>
      <c r="T126" s="37" t="s">
        <v>15</v>
      </c>
      <c r="AB126" s="35"/>
      <c r="AC126" s="29"/>
      <c r="AE126" s="237"/>
      <c r="AF126" s="238"/>
      <c r="AG126" s="238"/>
      <c r="AH126" s="238"/>
      <c r="AI126" s="238"/>
      <c r="AJ126" s="238"/>
      <c r="AK126" s="227"/>
      <c r="AL126" s="227"/>
      <c r="AM126" s="229"/>
    </row>
    <row r="127" spans="1:39" ht="26.25" customHeight="1" x14ac:dyDescent="0.35">
      <c r="A127" s="199"/>
      <c r="B127" s="199"/>
      <c r="C127" s="199"/>
      <c r="D127" s="199"/>
      <c r="E127" s="199"/>
      <c r="F127" s="199"/>
      <c r="G127" s="199"/>
      <c r="H127" s="199"/>
      <c r="I127" s="199"/>
      <c r="J127" s="199"/>
      <c r="K127" s="199"/>
      <c r="L127" s="199"/>
      <c r="M127" s="199"/>
      <c r="N127" s="199"/>
      <c r="O127" s="199"/>
      <c r="P127" s="38"/>
      <c r="Q127" s="38"/>
      <c r="R127" s="22"/>
      <c r="S127" s="23"/>
      <c r="T127" s="34" t="s">
        <v>16</v>
      </c>
      <c r="AB127" s="13"/>
      <c r="AC127" s="29"/>
      <c r="AE127" s="230" t="s">
        <v>5</v>
      </c>
      <c r="AF127" s="231"/>
      <c r="AG127" s="231"/>
      <c r="AH127" s="231"/>
      <c r="AI127" s="231"/>
      <c r="AJ127" s="231"/>
      <c r="AK127" s="54">
        <f>AG63/AJ117</f>
        <v>0</v>
      </c>
      <c r="AL127" s="54">
        <f>AG114/AJ117</f>
        <v>0</v>
      </c>
      <c r="AM127" s="53">
        <f>AG115/AJ117</f>
        <v>0</v>
      </c>
    </row>
    <row r="128" spans="1:39" ht="16.5" customHeight="1" x14ac:dyDescent="0.35">
      <c r="A128" s="232" t="s">
        <v>72</v>
      </c>
      <c r="B128" s="232"/>
      <c r="C128" s="232"/>
      <c r="D128" s="232"/>
      <c r="E128" s="232"/>
      <c r="F128" s="232"/>
      <c r="G128" s="232"/>
      <c r="H128" s="232"/>
      <c r="I128" s="232"/>
      <c r="J128" s="232"/>
      <c r="K128" s="232"/>
      <c r="L128" s="232"/>
      <c r="M128" s="232"/>
      <c r="N128" s="232"/>
      <c r="O128" s="232"/>
      <c r="P128" s="232"/>
      <c r="Q128" s="232"/>
      <c r="R128" s="36"/>
      <c r="S128" s="23"/>
      <c r="T128" s="37" t="s">
        <v>17</v>
      </c>
      <c r="AB128" s="35"/>
      <c r="AC128" s="29"/>
      <c r="AE128" s="217" t="s">
        <v>6</v>
      </c>
      <c r="AF128" s="218"/>
      <c r="AG128" s="218"/>
      <c r="AH128" s="218"/>
      <c r="AI128" s="218"/>
      <c r="AJ128" s="218"/>
      <c r="AK128" s="233" t="e">
        <f>AK127/AK123</f>
        <v>#DIV/0!</v>
      </c>
      <c r="AL128" s="234" t="e">
        <f>AL127/AL123</f>
        <v>#DIV/0!</v>
      </c>
      <c r="AM128" s="235" t="e">
        <f>AM127/AM123</f>
        <v>#DIV/0!</v>
      </c>
    </row>
    <row r="129" spans="1:39" ht="15.75" customHeight="1" x14ac:dyDescent="0.35">
      <c r="A129" s="232"/>
      <c r="B129" s="232"/>
      <c r="C129" s="232"/>
      <c r="D129" s="232"/>
      <c r="E129" s="232"/>
      <c r="F129" s="232"/>
      <c r="G129" s="232"/>
      <c r="H129" s="232"/>
      <c r="I129" s="232"/>
      <c r="J129" s="232"/>
      <c r="K129" s="232"/>
      <c r="L129" s="232"/>
      <c r="M129" s="232"/>
      <c r="N129" s="232"/>
      <c r="O129" s="232"/>
      <c r="P129" s="232"/>
      <c r="Q129" s="232"/>
      <c r="R129" s="36"/>
      <c r="S129" s="23"/>
      <c r="T129" s="37" t="s">
        <v>18</v>
      </c>
      <c r="AB129" s="35"/>
      <c r="AC129" s="29"/>
      <c r="AE129" s="217"/>
      <c r="AF129" s="218"/>
      <c r="AG129" s="218"/>
      <c r="AH129" s="218"/>
      <c r="AI129" s="218"/>
      <c r="AJ129" s="218"/>
      <c r="AK129" s="225"/>
      <c r="AL129" s="234"/>
      <c r="AM129" s="235"/>
    </row>
    <row r="130" spans="1:39" ht="15.75" customHeight="1" x14ac:dyDescent="0.35">
      <c r="A130" s="239" t="s">
        <v>75</v>
      </c>
      <c r="B130" s="239"/>
      <c r="C130" s="239"/>
      <c r="D130" s="239"/>
      <c r="E130" s="239"/>
      <c r="F130" s="239"/>
      <c r="G130" s="239"/>
      <c r="H130" s="239"/>
      <c r="I130" s="239"/>
      <c r="J130" s="239"/>
      <c r="K130" s="239"/>
      <c r="L130" s="239"/>
      <c r="M130" s="239"/>
      <c r="N130" s="239"/>
      <c r="O130" s="239"/>
      <c r="P130" s="239"/>
      <c r="Q130" s="239"/>
      <c r="R130" s="239"/>
      <c r="S130" s="23"/>
      <c r="T130" s="37" t="s">
        <v>19</v>
      </c>
      <c r="AB130" s="35"/>
      <c r="AC130" s="29"/>
      <c r="AD130" s="41"/>
      <c r="AE130" s="217" t="s">
        <v>49</v>
      </c>
      <c r="AF130" s="218"/>
      <c r="AG130" s="218"/>
      <c r="AH130" s="218"/>
      <c r="AI130" s="218"/>
      <c r="AJ130" s="218"/>
      <c r="AK130" s="240">
        <v>0</v>
      </c>
      <c r="AL130" s="240">
        <v>0</v>
      </c>
      <c r="AM130" s="241">
        <f>AK130+AL130</f>
        <v>0</v>
      </c>
    </row>
    <row r="131" spans="1:39" ht="16.5" customHeight="1" x14ac:dyDescent="0.35">
      <c r="A131" s="239"/>
      <c r="B131" s="239"/>
      <c r="C131" s="239"/>
      <c r="D131" s="239"/>
      <c r="E131" s="239"/>
      <c r="F131" s="239"/>
      <c r="G131" s="239"/>
      <c r="H131" s="239"/>
      <c r="I131" s="239"/>
      <c r="J131" s="239"/>
      <c r="K131" s="239"/>
      <c r="L131" s="239"/>
      <c r="M131" s="239"/>
      <c r="N131" s="239"/>
      <c r="O131" s="239"/>
      <c r="P131" s="239"/>
      <c r="Q131" s="239"/>
      <c r="R131" s="239"/>
      <c r="S131" s="23"/>
      <c r="T131" s="37" t="s">
        <v>20</v>
      </c>
      <c r="AB131" s="13"/>
      <c r="AC131" s="29"/>
      <c r="AE131" s="217"/>
      <c r="AF131" s="218"/>
      <c r="AG131" s="218"/>
      <c r="AH131" s="218"/>
      <c r="AI131" s="218"/>
      <c r="AJ131" s="218"/>
      <c r="AK131" s="210"/>
      <c r="AL131" s="210"/>
      <c r="AM131" s="211"/>
    </row>
    <row r="132" spans="1:39" ht="14.25" customHeight="1" x14ac:dyDescent="0.35">
      <c r="A132" s="22" t="s">
        <v>73</v>
      </c>
      <c r="B132" s="39"/>
      <c r="C132" s="39"/>
      <c r="D132" s="39"/>
      <c r="E132" s="39"/>
      <c r="F132" s="39"/>
      <c r="G132" s="40"/>
      <c r="H132" s="40"/>
      <c r="I132" s="40"/>
      <c r="J132" s="40"/>
      <c r="K132" s="40"/>
      <c r="L132" s="40"/>
      <c r="M132" s="40"/>
      <c r="N132" s="40"/>
      <c r="O132" s="40"/>
      <c r="P132" s="40"/>
      <c r="Q132" s="40"/>
      <c r="R132" s="36"/>
      <c r="S132" s="23"/>
      <c r="T132" s="37" t="s">
        <v>21</v>
      </c>
      <c r="AB132" s="35"/>
      <c r="AC132" s="29"/>
      <c r="AE132" s="242" t="s">
        <v>87</v>
      </c>
      <c r="AF132" s="243"/>
      <c r="AG132" s="243"/>
      <c r="AH132" s="243"/>
      <c r="AI132" s="243"/>
      <c r="AJ132" s="243"/>
      <c r="AK132" s="244">
        <f>COUNTIF(AH13:AI62,"NLS")</f>
        <v>0</v>
      </c>
      <c r="AL132" s="244">
        <f>COUNTIF(AH64:AI113,"NLS")</f>
        <v>0</v>
      </c>
      <c r="AM132" s="220">
        <f>AK132+AL132</f>
        <v>0</v>
      </c>
    </row>
    <row r="133" spans="1:39" ht="15.75" customHeight="1" x14ac:dyDescent="0.35">
      <c r="A133" s="42" t="s">
        <v>62</v>
      </c>
      <c r="B133" s="239" t="s">
        <v>88</v>
      </c>
      <c r="C133" s="239"/>
      <c r="D133" s="239"/>
      <c r="E133" s="239"/>
      <c r="F133" s="239"/>
      <c r="G133" s="239"/>
      <c r="H133" s="239"/>
      <c r="I133" s="239"/>
      <c r="J133" s="239"/>
      <c r="K133" s="239"/>
      <c r="L133" s="239"/>
      <c r="M133" s="239"/>
      <c r="N133" s="239"/>
      <c r="O133" s="239"/>
      <c r="P133" s="239"/>
      <c r="Q133" s="239"/>
      <c r="R133" s="22"/>
      <c r="S133" s="23"/>
      <c r="T133" s="37" t="s">
        <v>54</v>
      </c>
      <c r="AB133" s="13"/>
      <c r="AC133" s="29"/>
      <c r="AE133" s="242"/>
      <c r="AF133" s="243"/>
      <c r="AG133" s="243"/>
      <c r="AH133" s="243"/>
      <c r="AI133" s="243"/>
      <c r="AJ133" s="243"/>
      <c r="AK133" s="244"/>
      <c r="AL133" s="244"/>
      <c r="AM133" s="220"/>
    </row>
    <row r="134" spans="1:39" ht="15.75" customHeight="1" x14ac:dyDescent="0.35">
      <c r="G134" s="21"/>
      <c r="H134" s="21"/>
      <c r="I134" s="21"/>
      <c r="J134" s="21"/>
      <c r="K134" s="43"/>
      <c r="L134" s="43"/>
      <c r="M134" s="43"/>
      <c r="N134" s="43"/>
      <c r="S134" s="23"/>
      <c r="T134" s="37" t="s">
        <v>22</v>
      </c>
      <c r="AC134" s="29"/>
      <c r="AE134" s="242" t="s">
        <v>7</v>
      </c>
      <c r="AF134" s="243"/>
      <c r="AG134" s="243"/>
      <c r="AH134" s="243"/>
      <c r="AI134" s="243"/>
      <c r="AJ134" s="243"/>
      <c r="AK134" s="225">
        <f>COUNTIF(AH13:AI62,"Transferred Out")</f>
        <v>0</v>
      </c>
      <c r="AL134" s="225">
        <f>COUNTIF(AH64:AI113,"Transferred Out")</f>
        <v>0</v>
      </c>
      <c r="AM134" s="212">
        <f>AK134+AL134</f>
        <v>0</v>
      </c>
    </row>
    <row r="135" spans="1:39" ht="14.25" customHeight="1" x14ac:dyDescent="0.35">
      <c r="B135" s="21"/>
      <c r="C135" s="21"/>
      <c r="D135" s="21"/>
      <c r="E135" s="21"/>
      <c r="F135" s="21"/>
      <c r="G135" s="21"/>
      <c r="H135" s="21"/>
      <c r="I135" s="21"/>
      <c r="J135" s="21"/>
      <c r="S135" s="23"/>
      <c r="T135" s="34" t="s">
        <v>23</v>
      </c>
      <c r="Z135" s="35"/>
      <c r="AA135" s="35"/>
      <c r="AB135" s="35"/>
      <c r="AC135" s="29"/>
      <c r="AE135" s="242"/>
      <c r="AF135" s="243"/>
      <c r="AG135" s="243"/>
      <c r="AH135" s="243"/>
      <c r="AI135" s="243"/>
      <c r="AJ135" s="243"/>
      <c r="AK135" s="225"/>
      <c r="AL135" s="225"/>
      <c r="AM135" s="212"/>
    </row>
    <row r="136" spans="1:39" ht="15" customHeight="1" x14ac:dyDescent="0.35">
      <c r="B136" s="250"/>
      <c r="C136" s="250"/>
      <c r="D136" s="250"/>
      <c r="E136" s="250"/>
      <c r="F136" s="250"/>
      <c r="G136" s="250"/>
      <c r="H136" s="250"/>
      <c r="I136" s="250"/>
      <c r="J136" s="250"/>
      <c r="S136" s="23"/>
      <c r="T136" s="37" t="s">
        <v>24</v>
      </c>
      <c r="AC136" s="29"/>
      <c r="AD136" s="44"/>
      <c r="AE136" s="242" t="s">
        <v>8</v>
      </c>
      <c r="AF136" s="243"/>
      <c r="AG136" s="243"/>
      <c r="AH136" s="243"/>
      <c r="AI136" s="243"/>
      <c r="AJ136" s="243"/>
      <c r="AK136" s="225">
        <f>COUNTIF(AH13:AI62,"Transferred In")</f>
        <v>0</v>
      </c>
      <c r="AL136" s="225">
        <f>COUNTIF(AH64:AI113,"Transferred In")</f>
        <v>0</v>
      </c>
      <c r="AM136" s="212">
        <f>AK136+AL136</f>
        <v>0</v>
      </c>
    </row>
    <row r="137" spans="1:39" ht="15.75" customHeight="1" thickBot="1" x14ac:dyDescent="0.4">
      <c r="B137" s="250"/>
      <c r="C137" s="250"/>
      <c r="D137" s="250"/>
      <c r="E137" s="250"/>
      <c r="F137" s="250"/>
      <c r="G137" s="250"/>
      <c r="H137" s="250"/>
      <c r="I137" s="250"/>
      <c r="J137" s="250"/>
      <c r="S137" s="23"/>
      <c r="T137" s="37" t="s">
        <v>25</v>
      </c>
      <c r="AC137" s="29"/>
      <c r="AE137" s="251"/>
      <c r="AF137" s="252"/>
      <c r="AG137" s="252"/>
      <c r="AH137" s="252"/>
      <c r="AI137" s="252"/>
      <c r="AJ137" s="252"/>
      <c r="AK137" s="253"/>
      <c r="AL137" s="253"/>
      <c r="AM137" s="254"/>
    </row>
    <row r="138" spans="1:39" ht="14.25" customHeight="1" x14ac:dyDescent="0.35">
      <c r="B138" s="13"/>
      <c r="C138" s="13"/>
      <c r="D138" s="13"/>
      <c r="E138" s="13"/>
      <c r="F138" s="13"/>
      <c r="S138" s="23"/>
      <c r="T138" s="37" t="s">
        <v>26</v>
      </c>
      <c r="AC138" s="29"/>
    </row>
    <row r="139" spans="1:39" x14ac:dyDescent="0.35">
      <c r="B139" s="13"/>
      <c r="C139" s="13"/>
      <c r="D139" s="13"/>
      <c r="E139" s="13"/>
      <c r="F139" s="13"/>
      <c r="G139" s="13"/>
      <c r="H139" s="13"/>
      <c r="I139" s="13"/>
      <c r="J139" s="13"/>
      <c r="S139" s="23"/>
      <c r="T139" s="34" t="s">
        <v>27</v>
      </c>
      <c r="AC139" s="29"/>
      <c r="AE139" s="45" t="s">
        <v>9</v>
      </c>
      <c r="AM139" s="46"/>
    </row>
    <row r="140" spans="1:39" x14ac:dyDescent="0.35">
      <c r="B140" s="47"/>
      <c r="C140" s="47"/>
      <c r="D140" s="47"/>
      <c r="E140" s="47"/>
      <c r="F140" s="47"/>
      <c r="G140" s="13"/>
      <c r="H140" s="13"/>
      <c r="I140" s="13"/>
      <c r="J140" s="13"/>
      <c r="S140" s="23"/>
      <c r="T140" s="37" t="s">
        <v>28</v>
      </c>
      <c r="AC140" s="29"/>
      <c r="AE140" s="245"/>
      <c r="AF140" s="245"/>
      <c r="AG140" s="245"/>
      <c r="AH140" s="245"/>
      <c r="AI140" s="245"/>
      <c r="AJ140" s="245"/>
      <c r="AK140" s="245"/>
      <c r="AL140" s="245"/>
      <c r="AM140" s="245"/>
    </row>
    <row r="141" spans="1:39" ht="12" customHeight="1" x14ac:dyDescent="0.35">
      <c r="B141" s="47"/>
      <c r="C141" s="47"/>
      <c r="D141" s="47"/>
      <c r="E141" s="47"/>
      <c r="F141" s="47"/>
      <c r="S141" s="23"/>
      <c r="T141" s="202" t="s">
        <v>74</v>
      </c>
      <c r="U141" s="203"/>
      <c r="V141" s="203"/>
      <c r="W141" s="203"/>
      <c r="X141" s="203"/>
      <c r="Y141" s="203"/>
      <c r="Z141" s="203"/>
      <c r="AA141" s="203"/>
      <c r="AB141" s="203"/>
      <c r="AC141" s="247"/>
      <c r="AE141" s="246"/>
      <c r="AF141" s="246"/>
      <c r="AG141" s="246"/>
      <c r="AH141" s="246"/>
      <c r="AI141" s="246"/>
      <c r="AJ141" s="246"/>
      <c r="AK141" s="246"/>
      <c r="AL141" s="246"/>
      <c r="AM141" s="246"/>
    </row>
    <row r="142" spans="1:39" x14ac:dyDescent="0.35">
      <c r="B142" s="47"/>
      <c r="C142" s="47"/>
      <c r="D142" s="47"/>
      <c r="E142" s="47"/>
      <c r="F142" s="47"/>
      <c r="S142" s="23"/>
      <c r="T142" s="202"/>
      <c r="U142" s="203"/>
      <c r="V142" s="203"/>
      <c r="W142" s="203"/>
      <c r="X142" s="203"/>
      <c r="Y142" s="203"/>
      <c r="Z142" s="203"/>
      <c r="AA142" s="203"/>
      <c r="AB142" s="203"/>
      <c r="AC142" s="247"/>
      <c r="AE142" s="248" t="s">
        <v>90</v>
      </c>
      <c r="AF142" s="248"/>
      <c r="AG142" s="248"/>
      <c r="AH142" s="248"/>
      <c r="AI142" s="248"/>
      <c r="AJ142" s="248"/>
      <c r="AK142" s="248"/>
      <c r="AL142" s="248"/>
      <c r="AM142" s="248"/>
    </row>
    <row r="143" spans="1:39" x14ac:dyDescent="0.35">
      <c r="B143" s="47"/>
      <c r="C143" s="47"/>
      <c r="D143" s="47"/>
      <c r="E143" s="47"/>
      <c r="F143" s="47"/>
      <c r="T143" s="37" t="s">
        <v>29</v>
      </c>
      <c r="AC143" s="48"/>
    </row>
    <row r="144" spans="1:39" ht="14.25" customHeight="1" x14ac:dyDescent="0.35">
      <c r="B144" s="13"/>
      <c r="C144" s="13"/>
      <c r="D144" s="13"/>
      <c r="E144" s="13"/>
      <c r="F144" s="13"/>
      <c r="T144" s="34" t="s">
        <v>30</v>
      </c>
      <c r="AC144" s="48"/>
      <c r="AE144" s="16" t="s">
        <v>10</v>
      </c>
      <c r="AG144" s="45"/>
      <c r="AH144" s="45"/>
      <c r="AI144" s="45"/>
      <c r="AJ144" s="45"/>
      <c r="AK144" s="45"/>
      <c r="AL144" s="45"/>
    </row>
    <row r="145" spans="1:39" ht="27.65" customHeight="1" x14ac:dyDescent="0.4">
      <c r="A145" s="249"/>
      <c r="B145" s="249"/>
      <c r="C145" s="114"/>
      <c r="D145" s="114"/>
      <c r="E145" s="114"/>
      <c r="F145" s="114"/>
      <c r="T145" s="37" t="s">
        <v>31</v>
      </c>
      <c r="AC145" s="48"/>
      <c r="AE145" s="246"/>
      <c r="AF145" s="246"/>
      <c r="AG145" s="246"/>
      <c r="AH145" s="246"/>
      <c r="AI145" s="246"/>
      <c r="AJ145" s="246"/>
      <c r="AK145" s="246"/>
      <c r="AL145" s="246"/>
      <c r="AM145" s="246"/>
    </row>
    <row r="146" spans="1:39" ht="14.25" customHeight="1" thickBot="1" x14ac:dyDescent="0.45">
      <c r="A146" s="249"/>
      <c r="B146" s="249"/>
      <c r="C146" s="114"/>
      <c r="D146" s="114"/>
      <c r="E146" s="114"/>
      <c r="F146" s="114"/>
      <c r="T146" s="49" t="s">
        <v>32</v>
      </c>
      <c r="U146" s="11"/>
      <c r="V146" s="11"/>
      <c r="W146" s="11"/>
      <c r="X146" s="11"/>
      <c r="Y146" s="11"/>
      <c r="Z146" s="11"/>
      <c r="AA146" s="11"/>
      <c r="AB146" s="11"/>
      <c r="AC146" s="30"/>
      <c r="AE146" s="248" t="s">
        <v>91</v>
      </c>
      <c r="AF146" s="248"/>
      <c r="AG146" s="248"/>
      <c r="AH146" s="248"/>
      <c r="AI146" s="248"/>
      <c r="AJ146" s="248"/>
      <c r="AK146" s="248"/>
      <c r="AL146" s="248"/>
      <c r="AM146" s="248"/>
    </row>
  </sheetData>
  <sheetProtection algorithmName="SHA-512" hashValue="0SwfZUhAvjoXzXRbYtIPFWOu4cl+c8btlf9OppZY0R8SREFf3XzE1BVL9GLEAYvG1hgRp8dUhOiTyrJBe0uNsQ==" saltValue="YJ5RxGbmyhQav7Xk1mqAHA==" spinCount="100000" sheet="1" formatCells="0" formatColumns="0" formatRows="0" insertColumns="0" insertRows="0"/>
  <mergeCells count="257">
    <mergeCell ref="AH84:AI84"/>
    <mergeCell ref="AH85:AI85"/>
    <mergeCell ref="AH86:AI86"/>
    <mergeCell ref="AH87:AI87"/>
    <mergeCell ref="AH36:AI36"/>
    <mergeCell ref="AH37:AI37"/>
    <mergeCell ref="AH38:AI38"/>
    <mergeCell ref="AH39:AI39"/>
    <mergeCell ref="AH40:AI40"/>
    <mergeCell ref="AH68:AI68"/>
    <mergeCell ref="AH69:AI69"/>
    <mergeCell ref="AH70:AI70"/>
    <mergeCell ref="AH71:AI71"/>
    <mergeCell ref="A2:AM2"/>
    <mergeCell ref="A3:AM3"/>
    <mergeCell ref="G6:J6"/>
    <mergeCell ref="N6:R6"/>
    <mergeCell ref="T6:Z6"/>
    <mergeCell ref="AA6:AF6"/>
    <mergeCell ref="AH21:AI21"/>
    <mergeCell ref="AH22:AI22"/>
    <mergeCell ref="AH23:AI23"/>
    <mergeCell ref="AO9:AP10"/>
    <mergeCell ref="AQ9:AQ10"/>
    <mergeCell ref="AF11:AF12"/>
    <mergeCell ref="AG11:AG12"/>
    <mergeCell ref="AO6:AT6"/>
    <mergeCell ref="G7:R7"/>
    <mergeCell ref="W7:Z7"/>
    <mergeCell ref="AA7:AB7"/>
    <mergeCell ref="AC7:AE7"/>
    <mergeCell ref="AF7:AK7"/>
    <mergeCell ref="AH13:AI13"/>
    <mergeCell ref="AJ13:AM13"/>
    <mergeCell ref="AH14:AI14"/>
    <mergeCell ref="AJ14:AM14"/>
    <mergeCell ref="AH15:AI15"/>
    <mergeCell ref="AJ15:AM15"/>
    <mergeCell ref="A9:B11"/>
    <mergeCell ref="G9:AE9"/>
    <mergeCell ref="AF9:AG10"/>
    <mergeCell ref="AH9:AM12"/>
    <mergeCell ref="AH19:AI19"/>
    <mergeCell ref="AJ19:AM19"/>
    <mergeCell ref="AH20:AI20"/>
    <mergeCell ref="AJ20:AM20"/>
    <mergeCell ref="AH41:AI41"/>
    <mergeCell ref="AJ41:AM41"/>
    <mergeCell ref="AH16:AI16"/>
    <mergeCell ref="AJ16:AM16"/>
    <mergeCell ref="AH17:AI17"/>
    <mergeCell ref="AJ17:AM17"/>
    <mergeCell ref="AH18:AI18"/>
    <mergeCell ref="AJ18:AM18"/>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45:AI45"/>
    <mergeCell ref="AJ45:AM45"/>
    <mergeCell ref="AH46:AI46"/>
    <mergeCell ref="AJ46:AM46"/>
    <mergeCell ref="AH47:AI47"/>
    <mergeCell ref="AJ47:AM47"/>
    <mergeCell ref="AH42:AI42"/>
    <mergeCell ref="AJ42:AM42"/>
    <mergeCell ref="AH43:AI43"/>
    <mergeCell ref="AJ43:AM43"/>
    <mergeCell ref="AH44:AI44"/>
    <mergeCell ref="AJ44:AM44"/>
    <mergeCell ref="AH51:AI51"/>
    <mergeCell ref="AJ51:AM51"/>
    <mergeCell ref="AH52:AI52"/>
    <mergeCell ref="AJ52:AM52"/>
    <mergeCell ref="AH53:AI53"/>
    <mergeCell ref="AJ53:AM53"/>
    <mergeCell ref="AH48:AI48"/>
    <mergeCell ref="AJ48:AM48"/>
    <mergeCell ref="AH49:AI49"/>
    <mergeCell ref="AJ49:AM49"/>
    <mergeCell ref="AH50:AI50"/>
    <mergeCell ref="AJ50:AM50"/>
    <mergeCell ref="AH57:AI57"/>
    <mergeCell ref="AJ57:AM57"/>
    <mergeCell ref="AH58:AI58"/>
    <mergeCell ref="AJ58:AM58"/>
    <mergeCell ref="AH59:AI59"/>
    <mergeCell ref="AJ59:AM59"/>
    <mergeCell ref="AH54:AI54"/>
    <mergeCell ref="AJ54:AM54"/>
    <mergeCell ref="AH55:AI55"/>
    <mergeCell ref="AJ55:AM55"/>
    <mergeCell ref="AH56:AI56"/>
    <mergeCell ref="AJ56:AM56"/>
    <mergeCell ref="AH64:AI64"/>
    <mergeCell ref="AJ64:AM64"/>
    <mergeCell ref="AH65:AI65"/>
    <mergeCell ref="AJ65:AM65"/>
    <mergeCell ref="AH66:AI66"/>
    <mergeCell ref="AJ66:AM66"/>
    <mergeCell ref="AH60:AI60"/>
    <mergeCell ref="AJ60:AM60"/>
    <mergeCell ref="AH61:AI61"/>
    <mergeCell ref="AJ61:AM61"/>
    <mergeCell ref="AH62:AI62"/>
    <mergeCell ref="AJ62:AM62"/>
    <mergeCell ref="AH90:AI90"/>
    <mergeCell ref="AJ90:AM90"/>
    <mergeCell ref="AH91:AI91"/>
    <mergeCell ref="AJ91:AM91"/>
    <mergeCell ref="AH92:AI92"/>
    <mergeCell ref="AJ92:AM92"/>
    <mergeCell ref="AH67:AI67"/>
    <mergeCell ref="AJ67:AM67"/>
    <mergeCell ref="AH88:AI88"/>
    <mergeCell ref="AJ88:AM88"/>
    <mergeCell ref="AH89:AI89"/>
    <mergeCell ref="AJ89:AM89"/>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96:AI96"/>
    <mergeCell ref="AJ96:AM96"/>
    <mergeCell ref="AH97:AI97"/>
    <mergeCell ref="AJ97:AM97"/>
    <mergeCell ref="AH98:AI98"/>
    <mergeCell ref="AJ98:AM98"/>
    <mergeCell ref="AH93:AI93"/>
    <mergeCell ref="AJ93:AM93"/>
    <mergeCell ref="AH94:AI94"/>
    <mergeCell ref="AJ94:AM94"/>
    <mergeCell ref="AH95:AI95"/>
    <mergeCell ref="AJ95:AM95"/>
    <mergeCell ref="AH102:AI102"/>
    <mergeCell ref="AJ102:AM102"/>
    <mergeCell ref="AH103:AI103"/>
    <mergeCell ref="AJ103:AM103"/>
    <mergeCell ref="AH104:AI104"/>
    <mergeCell ref="AJ104:AM104"/>
    <mergeCell ref="AH99:AI99"/>
    <mergeCell ref="AJ99:AM99"/>
    <mergeCell ref="AH100:AI100"/>
    <mergeCell ref="AJ100:AM100"/>
    <mergeCell ref="AH101:AI101"/>
    <mergeCell ref="AJ101:AM101"/>
    <mergeCell ref="AH108:AI108"/>
    <mergeCell ref="AJ108:AM108"/>
    <mergeCell ref="AH109:AI109"/>
    <mergeCell ref="AJ109:AM109"/>
    <mergeCell ref="AH110:AI110"/>
    <mergeCell ref="AJ110:AM110"/>
    <mergeCell ref="AH105:AI105"/>
    <mergeCell ref="AJ105:AM105"/>
    <mergeCell ref="AH106:AI106"/>
    <mergeCell ref="AJ106:AM106"/>
    <mergeCell ref="AH107:AI107"/>
    <mergeCell ref="AJ107:AM107"/>
    <mergeCell ref="A114:B114"/>
    <mergeCell ref="AH114:AM114"/>
    <mergeCell ref="A115:B115"/>
    <mergeCell ref="AH115:AM115"/>
    <mergeCell ref="A116:B116"/>
    <mergeCell ref="G116:K116"/>
    <mergeCell ref="AH111:AI111"/>
    <mergeCell ref="AJ111:AM111"/>
    <mergeCell ref="AH112:AI112"/>
    <mergeCell ref="AJ112:AM112"/>
    <mergeCell ref="AH113:AI113"/>
    <mergeCell ref="AJ113:AM113"/>
    <mergeCell ref="AE117:AF118"/>
    <mergeCell ref="AG117:AG118"/>
    <mergeCell ref="AH117:AI118"/>
    <mergeCell ref="AJ117:AJ118"/>
    <mergeCell ref="AK117:AM117"/>
    <mergeCell ref="A118:Q118"/>
    <mergeCell ref="T118:AB120"/>
    <mergeCell ref="A119:Q119"/>
    <mergeCell ref="AE119:AJ120"/>
    <mergeCell ref="AK119:AK120"/>
    <mergeCell ref="AL119:AL120"/>
    <mergeCell ref="AM119:AM120"/>
    <mergeCell ref="A120:Q120"/>
    <mergeCell ref="A121:A122"/>
    <mergeCell ref="B121:B122"/>
    <mergeCell ref="G121:P121"/>
    <mergeCell ref="Q121:R122"/>
    <mergeCell ref="AE121:AJ122"/>
    <mergeCell ref="AK121:AK122"/>
    <mergeCell ref="AL121:AL122"/>
    <mergeCell ref="AM121:AM122"/>
    <mergeCell ref="G122:P122"/>
    <mergeCell ref="A123:A124"/>
    <mergeCell ref="B123:B124"/>
    <mergeCell ref="G123:P123"/>
    <mergeCell ref="AE123:AJ124"/>
    <mergeCell ref="AK123:AK124"/>
    <mergeCell ref="AL123:AL124"/>
    <mergeCell ref="AM123:AM124"/>
    <mergeCell ref="G124:P124"/>
    <mergeCell ref="AL125:AL126"/>
    <mergeCell ref="AM125:AM126"/>
    <mergeCell ref="G126:P126"/>
    <mergeCell ref="A127:O127"/>
    <mergeCell ref="AE127:AJ127"/>
    <mergeCell ref="A128:Q129"/>
    <mergeCell ref="AE128:AJ129"/>
    <mergeCell ref="AK128:AK129"/>
    <mergeCell ref="AL128:AL129"/>
    <mergeCell ref="AM128:AM129"/>
    <mergeCell ref="A125:A126"/>
    <mergeCell ref="B125:B126"/>
    <mergeCell ref="G125:P125"/>
    <mergeCell ref="Q125:R126"/>
    <mergeCell ref="AE125:AJ126"/>
    <mergeCell ref="AK125:AK126"/>
    <mergeCell ref="A130:R131"/>
    <mergeCell ref="AE130:AJ131"/>
    <mergeCell ref="AK130:AK131"/>
    <mergeCell ref="AL130:AL131"/>
    <mergeCell ref="AM130:AM131"/>
    <mergeCell ref="AE132:AJ133"/>
    <mergeCell ref="AK132:AK133"/>
    <mergeCell ref="AL132:AL133"/>
    <mergeCell ref="AM132:AM133"/>
    <mergeCell ref="B133:Q133"/>
    <mergeCell ref="AE140:AM141"/>
    <mergeCell ref="T141:AC142"/>
    <mergeCell ref="AE142:AM142"/>
    <mergeCell ref="A145:B146"/>
    <mergeCell ref="AE145:AM145"/>
    <mergeCell ref="AE146:AM146"/>
    <mergeCell ref="AE134:AJ135"/>
    <mergeCell ref="AK134:AK135"/>
    <mergeCell ref="AL134:AL135"/>
    <mergeCell ref="AM134:AM135"/>
    <mergeCell ref="B136:J137"/>
    <mergeCell ref="AE136:AJ137"/>
    <mergeCell ref="AK136:AK137"/>
    <mergeCell ref="AL136:AL137"/>
    <mergeCell ref="AM136:AM137"/>
  </mergeCells>
  <dataValidations count="2">
    <dataValidation type="list" allowBlank="1" showInputMessage="1" showErrorMessage="1" sqref="AI14:AI15 AH14:AH62 AH64:AI113" xr:uid="{93E89810-E8BD-449E-84CC-D42F2149B5E7}">
      <formula1>"NLS, Transferred In, Transferred Out"</formula1>
    </dataValidation>
    <dataValidation type="list" allowBlank="1" showInputMessage="1" showErrorMessage="1" sqref="AH13:AI13" xr:uid="{F60884D8-0172-4229-A383-D211C5FCCA54}">
      <formula1>"NLS,Transferred In, Transferred Out"</formula1>
    </dataValidation>
  </dataValidations>
  <pageMargins left="0.17" right="0.16" top="0.18" bottom="0.19" header="0.17" footer="0.16"/>
  <pageSetup paperSize="9" scale="62"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SEP</vt:lpstr>
      <vt:lpstr>SEP!Print_Area</vt:lpstr>
      <vt:lpstr>SEP!Print_Titles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2025-06-06T21:15:05Z</dcterms:created>
  <dcterms:modified xsi:type="dcterms:W3CDTF">2025-09-02T21:09:59Z</dcterms:modified>
</cp:coreProperties>
</file>